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d1ffb21f0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1d26d309745456d"/>
    <x:sheet xmlns:r="http://schemas.openxmlformats.org/officeDocument/2006/relationships" name="Transactions" sheetId="2" r:id="Rb0f8d480efd4469c"/>
    <x:sheet xmlns:r="http://schemas.openxmlformats.org/officeDocument/2006/relationships" name="Summary" sheetId="3" r:id="Re89a554c715a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b4d8c39654f32" /><Relationship Type="http://schemas.openxmlformats.org/officeDocument/2006/relationships/theme" Target="/xl/theme/theme1.xml" Id="R6b11415f71b045dd" /><Relationship Type="http://schemas.openxmlformats.org/officeDocument/2006/relationships/sharedStrings" Target="/xl/sharedStrings.xml" Id="R710de6bd171e4962" /><Relationship Type="http://schemas.openxmlformats.org/officeDocument/2006/relationships/worksheet" Target="/xl/worksheets/sheet1.xml" Id="Ra1d26d309745456d" /><Relationship Type="http://schemas.openxmlformats.org/officeDocument/2006/relationships/worksheet" Target="/xl/worksheets/sheet2.xml" Id="Rb0f8d480efd4469c" /><Relationship Type="http://schemas.openxmlformats.org/officeDocument/2006/relationships/worksheet" Target="/xl/worksheets/sheet3.xml" Id="Re89a554c715a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KansoBooks Free ACB Calculator Workbook</x:v>
      </x:c>
      <x:c r="B1" t="str"/>
      <x:c r="C1" t="str"/>
      <x:c r="D1" t="str"/>
      <x:c r="E1" t="str"/>
      <x:c r="F1" t="str"/>
    </x:row>
    <x:row r="3">
      <x:c r="A3" t="str">
        <x:v>Purpose</x:v>
      </x:c>
      <x:c r="B3" t="str">
        <x:v>Use this workbook to track adjusted cost base by transaction. Keep a copy for your own tax records or accountant.</x:v>
      </x:c>
      <x:c r="C3" t="str"/>
      <x:c r="D3" t="str"/>
      <x:c r="E3" t="str"/>
      <x:c r="F3" t="str"/>
    </x:row>
    <x:row r="4">
      <x:c r="A4" t="str">
        <x:v>How to use</x:v>
      </x:c>
      <x:c r="B4" t="str">
        <x:v>Enter or paste trades on the Transactions sheet. Use one row per transaction. Formulas calculate running shares, running ACB, ACB/unit, and realized gain/loss.</x:v>
      </x:c>
      <x:c r="C4" t="str"/>
      <x:c r="D4" t="str"/>
      <x:c r="E4" t="str"/>
      <x:c r="F4" t="str"/>
    </x:row>
    <x:row r="5">
      <x:c r="A5" t="str">
        <x:v>Supported actions</x:v>
      </x:c>
      <x:c r="B5" t="str">
        <x:v>buy, sell, drip, return_of_capital, split</x:v>
      </x:c>
      <x:c r="C5" t="str"/>
      <x:c r="D5" t="str"/>
      <x:c r="E5" t="str"/>
      <x:c r="F5" t="str"/>
    </x:row>
    <x:row r="6">
      <x:c r="A6" t="str">
        <x:v>Currency</x:v>
      </x:c>
      <x:c r="B6" t="str">
        <x:v>For non-CAD transactions, enter the transaction currency and the CAD FX rate. Gross CAD and commission CAD use that rate.</x:v>
      </x:c>
      <x:c r="C6" t="str"/>
      <x:c r="D6" t="str"/>
      <x:c r="E6" t="str"/>
      <x:c r="F6" t="str"/>
    </x:row>
    <x:row r="7">
      <x:c r="A7" t="str">
        <x:v>Stock splits</x:v>
      </x:c>
      <x:c r="B7" t="str">
        <x:v>For split rows, enter the share count after the split in Quantity. Total ACB remains unchanged.</x:v>
      </x:c>
      <x:c r="C7" t="str"/>
      <x:c r="D7" t="str"/>
      <x:c r="E7" t="str"/>
      <x:c r="F7" t="str"/>
    </x:row>
    <x:row r="8">
      <x:c r="A8" t="str">
        <x:v>T1135</x:v>
      </x:c>
      <x:c r="B8" t="str">
        <x:v>Use Specified Foreign Property = yes for securities you want flagged for T1135 review. This workbook does not determine filing obligations.</x:v>
      </x:c>
      <x:c r="C8" t="str"/>
      <x:c r="D8" t="str"/>
      <x:c r="E8" t="str"/>
      <x:c r="F8" t="str"/>
    </x:row>
    <x:row r="9">
      <x:c r="A9" t="str">
        <x:v>Important</x:v>
      </x:c>
      <x:c r="B9" t="str">
        <x:v>This is a planning worksheet, not tax advice. Review edge cases with your accountant before filing.</x:v>
      </x:c>
      <x:c r="C9" t="str"/>
      <x:c r="D9" t="str"/>
      <x:c r="E9" t="str"/>
      <x:c r="F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Symbol</x:v>
      </x:c>
      <x:c r="C1" t="str">
        <x:v>Account Type</x:v>
      </x:c>
      <x:c r="D1" t="str">
        <x:v>Action</x:v>
      </x:c>
      <x:c r="E1" t="str">
        <x:v>Quantity</x:v>
      </x:c>
      <x:c r="F1" t="str">
        <x:v>Price</x:v>
      </x:c>
      <x:c r="G1" t="str">
        <x:v>Gross Amount</x:v>
      </x:c>
      <x:c r="H1" t="str">
        <x:v>Commission</x:v>
      </x:c>
      <x:c r="I1" t="str">
        <x:v>Currency</x:v>
      </x:c>
      <x:c r="J1" t="str">
        <x:v>FX Rate</x:v>
      </x:c>
      <x:c r="K1" t="str">
        <x:v>Specified Foreign Property</x:v>
      </x:c>
      <x:c r="L1" t="str">
        <x:v>Notes</x:v>
      </x:c>
      <x:c r="M1" t="str">
        <x:v>Gross CAD</x:v>
      </x:c>
      <x:c r="N1" t="str">
        <x:v>Commission CAD</x:v>
      </x:c>
      <x:c r="O1" t="str">
        <x:v>Shares After</x:v>
      </x:c>
      <x:c r="P1" t="str">
        <x:v>Total ACB After</x:v>
      </x:c>
      <x:c r="Q1" t="str">
        <x:v>ACB/Unit After</x:v>
      </x:c>
      <x:c r="R1" t="str">
        <x:v>Realized Gain/Loss</x:v>
      </x:c>
      <x:c r="S1" t="str">
        <x:v>Row Check</x:v>
      </x:c>
    </x:row>
    <x:row r="2">
      <x:c r="A2" t="n">
        <x:v>46037</x:v>
      </x:c>
      <x:c r="B2" t="str">
        <x:v>NVDA</x:v>
      </x:c>
      <x:c r="C2" t="str">
        <x:v>non_registered</x:v>
      </x:c>
      <x:c r="D2" t="str">
        <x:v>buy</x:v>
      </x:c>
      <x:c r="E2" t="n">
        <x:v>10</x:v>
      </x:c>
      <x:c r="F2" t="n">
        <x:v>600</x:v>
      </x:c>
      <x:c r="G2" t="n">
        <x:v>6000</x:v>
      </x:c>
      <x:c r="H2" t="n">
        <x:v>4.95</x:v>
      </x:c>
      <x:c r="I2" t="str">
        <x:v>USD</x:v>
      </x:c>
      <x:c r="J2" t="n">
        <x:v>1.3421</x:v>
      </x:c>
      <x:c r="K2" t="str">
        <x:v>yes</x:v>
      </x:c>
      <x:c r="L2" t="str">
        <x:v>US stock</x:v>
      </x:c>
      <x:c r="M2" t="n">
        <x:f>IF(COUNTA($A2:$D2)=0,"",IF($G2&lt;&gt;"",$G2,IF(AND($E2&lt;&gt;"",$F2&lt;&gt;""),$E2*$F2,""))*IF($J2&lt;&gt;"",$J2,1))</x:f>
        <x:v>8052.6</x:v>
      </x:c>
      <x:c r="N2" t="n">
        <x:f>IF(COUNTA($A2:$D2)=0,"",IF($H2&lt;&gt;"",$H2,0)*IF($J2&lt;&gt;"",$J2,1))</x:f>
        <x:v>6.643395000000001</x:v>
      </x:c>
      <x:c r="O2" t="n">
        <x:f>IF(COUNTA($A2:$D2)=0,"",SWITCH(LOWER($D2),"buy",IFERROR(LOOKUP(2,1/($B$1:B1=B2),$O$1:O1),0)+$E2,"drip",IFERROR(LOOKUP(2,1/($B$1:B1=B2),$O$1:O1),0)+$E2,"sell",IFERROR(LOOKUP(2,1/($B$1:B1=B2),$O$1:O1),0)-$E2,"return_of_capital",IFERROR(LOOKUP(2,1/($B$1:B1=B2),$O$1:O1),0),"split",$E2,IFERROR(LOOKUP(2,1/($B$1:B1=B2),$O$1:O1),0)))</x:f>
        <x:v>10</x:v>
      </x:c>
      <x:c r="P2" t="n">
        <x:f>IF(COUNTA($A2:$D2)=0,"",SWITCH(LOWER($D2),"buy",IFERROR(LOOKUP(2,1/($B$1:B1=B2),$P$1:P1),0)+$M2+$N2,"drip",IFERROR(LOOKUP(2,1/($B$1:B1=B2),$P$1:P1),0)+$M2+$N2,"sell",IFERROR(LOOKUP(2,1/($B$1:B1=B2),$P$1:P1),0)-IFERROR(IFERROR(LOOKUP(2,1/($B$1:B1=B2),$P$1:P1),0)/IFERROR(LOOKUP(2,1/($B$1:B1=B2),$O$1:O1),0)*$E2,0),"return_of_capital",IFERROR(LOOKUP(2,1/($B$1:B1=B2),$P$1:P1),0)-ABS($M2),"split",IFERROR(LOOKUP(2,1/($B$1:B1=B2),$P$1:P1),0),IFERROR(LOOKUP(2,1/($B$1:B1=B2),$P$1:P1),0)))</x:f>
        <x:v>8059.243395</x:v>
      </x:c>
      <x:c r="Q2" t="n">
        <x:f>IFERROR($P2/$O2,"")</x:f>
        <x:v>805.9243395000001</x:v>
      </x:c>
      <x:c r="R2" t="str">
        <x:f>IF(LOWER($D2)="sell",$M2-$N2-IFERROR(IFERROR(LOOKUP(2,1/($B$1:B1=B2),$P$1:P1),0)/IFERROR(LOOKUP(2,1/($B$1:B1=B2),$O$1:O1),0)*$E2,0),"")</x:f>
      </x:c>
      <x:c r="S2" t="str">
        <x:f>IF(COUNTA($A2:$D2)=0,"",IF($B2="","Missing symbol",IF($D2="","Missing action",IF(AND(LOWER($D2)="sell",$E2&gt;IFERROR(LOOKUP(2,1/($B$1:B1=B2),$O$1:O1),0)),"Sold more units than available","OK"))))</x:f>
        <x:v>OK</x:v>
      </x:c>
    </x:row>
    <x:row r="3">
      <x:c r="A3" t="n">
        <x:v>46096</x:v>
      </x:c>
      <x:c r="B3" t="str">
        <x:v>NVDA</x:v>
      </x:c>
      <x:c r="C3" t="str">
        <x:v>non_registered</x:v>
      </x:c>
      <x:c r="D3" t="str">
        <x:v>buy</x:v>
      </x:c>
      <x:c r="E3" t="n">
        <x:v>5</x:v>
      </x:c>
      <x:c r="F3" t="n">
        <x:v>720</x:v>
      </x:c>
      <x:c r="G3" t="n">
        <x:v>3600</x:v>
      </x:c>
      <x:c r="H3" t="n">
        <x:v>4.95</x:v>
      </x:c>
      <x:c r="I3" t="str">
        <x:v>USD</x:v>
      </x:c>
      <x:c r="J3" t="n">
        <x:v>1.351</x:v>
      </x:c>
      <x:c r="K3" t="str">
        <x:v>yes</x:v>
      </x:c>
      <x:c r="L3" t="str">
        <x:v>Second purchase</x:v>
      </x:c>
      <x:c r="M3" t="n">
        <x:f>IF(COUNTA($A3:$D3)=0,"",IF($G3&lt;&gt;"",$G3,IF(AND($E3&lt;&gt;"",$F3&lt;&gt;""),$E3*$F3,""))*IF($J3&lt;&gt;"",$J3,1))</x:f>
        <x:v>4863.6</x:v>
      </x:c>
      <x:c r="N3" t="n">
        <x:f>IF(COUNTA($A3:$D3)=0,"",IF($H3&lt;&gt;"",$H3,0)*IF($J3&lt;&gt;"",$J3,1))</x:f>
        <x:v>6.68745</x:v>
      </x:c>
      <x:c r="O3" t="n">
        <x:f>IF(COUNTA($A3:$D3)=0,"",SWITCH(LOWER($D3),"buy",IFERROR(LOOKUP(2,1/($B$1:B2=B3),$O$1:O2),0)+$E3,"drip",IFERROR(LOOKUP(2,1/($B$1:B2=B3),$O$1:O2),0)+$E3,"sell",IFERROR(LOOKUP(2,1/($B$1:B2=B3),$O$1:O2),0)-$E3,"return_of_capital",IFERROR(LOOKUP(2,1/($B$1:B2=B3),$O$1:O2),0),"split",$E3,IFERROR(LOOKUP(2,1/($B$1:B2=B3),$O$1:O2),0)))</x:f>
        <x:v>15</x:v>
      </x:c>
      <x:c r="P3" t="n">
        <x:f>IF(COUNTA($A3:$D3)=0,"",SWITCH(LOWER($D3),"buy",IFERROR(LOOKUP(2,1/($B$1:B2=B3),$P$1:P2),0)+$M3+$N3,"drip",IFERROR(LOOKUP(2,1/($B$1:B2=B3),$P$1:P2),0)+$M3+$N3,"sell",IFERROR(LOOKUP(2,1/($B$1:B2=B3),$P$1:P2),0)-IFERROR(IFERROR(LOOKUP(2,1/($B$1:B2=B3),$P$1:P2),0)/IFERROR(LOOKUP(2,1/($B$1:B2=B3),$O$1:O2),0)*$E3,0),"return_of_capital",IFERROR(LOOKUP(2,1/($B$1:B2=B3),$P$1:P2),0)-ABS($M3),"split",IFERROR(LOOKUP(2,1/($B$1:B2=B3),$P$1:P2),0),IFERROR(LOOKUP(2,1/($B$1:B2=B3),$P$1:P2),0)))</x:f>
        <x:v>12929.530845</x:v>
      </x:c>
      <x:c r="Q3" t="n">
        <x:f>IFERROR($P3/$O3,"")</x:f>
        <x:v>861.968723</x:v>
      </x:c>
      <x:c r="R3" t="str">
        <x:f>IF(LOWER($D3)="sell",$M3-$N3-IFERROR(IFERROR(LOOKUP(2,1/($B$1:B2=B3),$P$1:P2),0)/IFERROR(LOOKUP(2,1/($B$1:B2=B3),$O$1:O2),0)*$E3,0),"")</x:f>
      </x:c>
      <x:c r="S3" t="str">
        <x:f>IF(COUNTA($A3:$D3)=0,"",IF($B3="","Missing symbol",IF($D3="","Missing action",IF(AND(LOWER($D3)="sell",$E3&gt;IFERROR(LOOKUP(2,1/($B$1:B2=B3),$O$1:O2),0)),"Sold more units than available","OK"))))</x:f>
        <x:v>OK</x:v>
      </x:c>
    </x:row>
    <x:row r="4">
      <x:c r="A4" t="n">
        <x:v>46280</x:v>
      </x:c>
      <x:c r="B4" t="str">
        <x:v>NVDA</x:v>
      </x:c>
      <x:c r="C4" t="str">
        <x:v>non_registered</x:v>
      </x:c>
      <x:c r="D4" t="str">
        <x:v>sell</x:v>
      </x:c>
      <x:c r="E4" t="n">
        <x:v>6</x:v>
      </x:c>
      <x:c r="F4" t="n">
        <x:v>800</x:v>
      </x:c>
      <x:c r="G4" t="n">
        <x:v>4800</x:v>
      </x:c>
      <x:c r="H4" t="n">
        <x:v>4.95</x:v>
      </x:c>
      <x:c r="I4" t="str">
        <x:v>USD</x:v>
      </x:c>
      <x:c r="J4" t="n">
        <x:v>1.36</x:v>
      </x:c>
      <x:c r="K4" t="str">
        <x:v>yes</x:v>
      </x:c>
      <x:c r="L4" t="str">
        <x:v>Partial sale</x:v>
      </x:c>
      <x:c r="M4" t="n">
        <x:f>IF(COUNTA($A4:$D4)=0,"",IF($G4&lt;&gt;"",$G4,IF(AND($E4&lt;&gt;"",$F4&lt;&gt;""),$E4*$F4,""))*IF($J4&lt;&gt;"",$J4,1))</x:f>
        <x:v>6528.000000000001</x:v>
      </x:c>
      <x:c r="N4" t="n">
        <x:f>IF(COUNTA($A4:$D4)=0,"",IF($H4&lt;&gt;"",$H4,0)*IF($J4&lt;&gt;"",$J4,1))</x:f>
        <x:v>6.732000000000001</x:v>
      </x:c>
      <x:c r="O4" t="n">
        <x:f>IF(COUNTA($A4:$D4)=0,"",SWITCH(LOWER($D4),"buy",IFERROR(LOOKUP(2,1/($B$1:B3=B4),$O$1:O3),0)+$E4,"drip",IFERROR(LOOKUP(2,1/($B$1:B3=B4),$O$1:O3),0)+$E4,"sell",IFERROR(LOOKUP(2,1/($B$1:B3=B4),$O$1:O3),0)-$E4,"return_of_capital",IFERROR(LOOKUP(2,1/($B$1:B3=B4),$O$1:O3),0),"split",$E4,IFERROR(LOOKUP(2,1/($B$1:B3=B4),$O$1:O3),0)))</x:f>
        <x:v>9</x:v>
      </x:c>
      <x:c r="P4" t="n">
        <x:f>IF(COUNTA($A4:$D4)=0,"",SWITCH(LOWER($D4),"buy",IFERROR(LOOKUP(2,1/($B$1:B3=B4),$P$1:P3),0)+$M4+$N4,"drip",IFERROR(LOOKUP(2,1/($B$1:B3=B4),$P$1:P3),0)+$M4+$N4,"sell",IFERROR(LOOKUP(2,1/($B$1:B3=B4),$P$1:P3),0)-IFERROR(IFERROR(LOOKUP(2,1/($B$1:B3=B4),$P$1:P3),0)/IFERROR(LOOKUP(2,1/($B$1:B3=B4),$O$1:O3),0)*$E4,0),"return_of_capital",IFERROR(LOOKUP(2,1/($B$1:B3=B4),$P$1:P3),0)-ABS($M4),"split",IFERROR(LOOKUP(2,1/($B$1:B3=B4),$P$1:P3),0),IFERROR(LOOKUP(2,1/($B$1:B3=B4),$P$1:P3),0)))</x:f>
        <x:v>7757.718507</x:v>
      </x:c>
      <x:c r="Q4" t="n">
        <x:f>IFERROR($P4/$O4,"")</x:f>
        <x:v>861.968723</x:v>
      </x:c>
      <x:c r="R4" t="n">
        <x:f>IF(LOWER($D4)="sell",$M4-$N4-IFERROR(IFERROR(LOOKUP(2,1/($B$1:B3=B4),$P$1:P3),0)/IFERROR(LOOKUP(2,1/($B$1:B3=B4),$O$1:O3),0)*$E4,0),"")</x:f>
        <x:v>1349.4556620000012</x:v>
      </x:c>
      <x:c r="S4" t="str">
        <x:f>IF(COUNTA($A4:$D4)=0,"",IF($B4="","Missing symbol",IF($D4="","Missing action",IF(AND(LOWER($D4)="sell",$E4&gt;IFERROR(LOOKUP(2,1/($B$1:B3=B4),$O$1:O3),0)),"Sold more units than available","OK"))))</x:f>
        <x:v>OK</x:v>
      </x:c>
    </x:row>
    <x:row r="5">
      <x:c r="A5" t="n">
        <x:v>46296</x:v>
      </x:c>
      <x:c r="B5" t="str">
        <x:v>XEQT</x:v>
      </x:c>
      <x:c r="C5" t="str">
        <x:v>non_registered</x:v>
      </x:c>
      <x:c r="D5" t="str">
        <x:v>buy</x:v>
      </x:c>
      <x:c r="E5" t="n">
        <x:v>100</x:v>
      </x:c>
      <x:c r="F5" t="n">
        <x:v>30</x:v>
      </x:c>
      <x:c r="G5" t="n">
        <x:v>3000</x:v>
      </x:c>
      <x:c r="H5" t="n">
        <x:v>0</x:v>
      </x:c>
      <x:c r="I5" t="str">
        <x:v>CAD</x:v>
      </x:c>
      <x:c r="J5" t="n">
        <x:v>1</x:v>
      </x:c>
      <x:c r="K5" t="str">
        <x:v>no</x:v>
      </x:c>
      <x:c r="L5" t="str">
        <x:v>Canadian ETF example</x:v>
      </x:c>
      <x:c r="M5" t="n">
        <x:f>IF(COUNTA($A5:$D5)=0,"",IF($G5&lt;&gt;"",$G5,IF(AND($E5&lt;&gt;"",$F5&lt;&gt;""),$E5*$F5,""))*IF($J5&lt;&gt;"",$J5,1))</x:f>
        <x:v>3000</x:v>
      </x:c>
      <x:c r="N5" t="n">
        <x:f>IF(COUNTA($A5:$D5)=0,"",IF($H5&lt;&gt;"",$H5,0)*IF($J5&lt;&gt;"",$J5,1))</x:f>
        <x:v>0</x:v>
      </x:c>
      <x:c r="O5" t="n">
        <x:f>IF(COUNTA($A5:$D5)=0,"",SWITCH(LOWER($D5),"buy",IFERROR(LOOKUP(2,1/($B$1:B4=B5),$O$1:O4),0)+$E5,"drip",IFERROR(LOOKUP(2,1/($B$1:B4=B5),$O$1:O4),0)+$E5,"sell",IFERROR(LOOKUP(2,1/($B$1:B4=B5),$O$1:O4),0)-$E5,"return_of_capital",IFERROR(LOOKUP(2,1/($B$1:B4=B5),$O$1:O4),0),"split",$E5,IFERROR(LOOKUP(2,1/($B$1:B4=B5),$O$1:O4),0)))</x:f>
        <x:v>100</x:v>
      </x:c>
      <x:c r="P5" t="n">
        <x:f>IF(COUNTA($A5:$D5)=0,"",SWITCH(LOWER($D5),"buy",IFERROR(LOOKUP(2,1/($B$1:B4=B5),$P$1:P4),0)+$M5+$N5,"drip",IFERROR(LOOKUP(2,1/($B$1:B4=B5),$P$1:P4),0)+$M5+$N5,"sell",IFERROR(LOOKUP(2,1/($B$1:B4=B5),$P$1:P4),0)-IFERROR(IFERROR(LOOKUP(2,1/($B$1:B4=B5),$P$1:P4),0)/IFERROR(LOOKUP(2,1/($B$1:B4=B5),$O$1:O4),0)*$E5,0),"return_of_capital",IFERROR(LOOKUP(2,1/($B$1:B4=B5),$P$1:P4),0)-ABS($M5),"split",IFERROR(LOOKUP(2,1/($B$1:B4=B5),$P$1:P4),0),IFERROR(LOOKUP(2,1/($B$1:B4=B5),$P$1:P4),0)))</x:f>
        <x:v>3000</x:v>
      </x:c>
      <x:c r="Q5" t="n">
        <x:f>IFERROR($P5/$O5,"")</x:f>
        <x:v>30</x:v>
      </x:c>
      <x:c r="R5" t="str">
        <x:f>IF(LOWER($D5)="sell",$M5-$N5-IFERROR(IFERROR(LOOKUP(2,1/($B$1:B4=B5),$P$1:P4),0)/IFERROR(LOOKUP(2,1/($B$1:B4=B5),$O$1:O4),0)*$E5,0),"")</x:f>
      </x:c>
      <x:c r="S5" t="str">
        <x:f>IF(COUNTA($A5:$D5)=0,"",IF($B5="","Missing symbol",IF($D5="","Missing action",IF(AND(LOWER($D5)="sell",$E5&gt;IFERROR(LOOKUP(2,1/($B$1:B4=B5),$O$1:O4),0)),"Sold more units than available","OK"))))</x:f>
        <x:v>OK</x:v>
      </x:c>
    </x:row>
    <x:row r="6">
      <x:c r="A6" t="n">
        <x:v>46371</x:v>
      </x:c>
      <x:c r="B6" t="str">
        <x:v>XEQT</x:v>
      </x:c>
      <x:c r="C6" t="str">
        <x:v>non_registered</x:v>
      </x:c>
      <x:c r="D6" t="str">
        <x:v>return_of_capital</x:v>
      </x:c>
      <x:c r="E6" t="str"/>
      <x:c r="F6" t="str"/>
      <x:c r="G6" t="n">
        <x:v>-12.4</x:v>
      </x:c>
      <x:c r="H6" t="n">
        <x:v>0</x:v>
      </x:c>
      <x:c r="I6" t="str">
        <x:v>CAD</x:v>
      </x:c>
      <x:c r="J6" t="n">
        <x:v>1</x:v>
      </x:c>
      <x:c r="K6" t="str">
        <x:v>no</x:v>
      </x:c>
      <x:c r="L6" t="str">
        <x:v>Return of capital reduces ACB</x:v>
      </x:c>
      <x:c r="M6" t="n">
        <x:f>IF(COUNTA($A6:$D6)=0,"",IF($G6&lt;&gt;"",$G6,IF(AND($E6&lt;&gt;"",$F6&lt;&gt;""),$E6*$F6,""))*IF($J6&lt;&gt;"",$J6,1))</x:f>
        <x:v>-12.4</x:v>
      </x:c>
      <x:c r="N6" t="n">
        <x:f>IF(COUNTA($A6:$D6)=0,"",IF($H6&lt;&gt;"",$H6,0)*IF($J6&lt;&gt;"",$J6,1))</x:f>
        <x:v>0</x:v>
      </x:c>
      <x:c r="O6" t="n">
        <x:f>IF(COUNTA($A6:$D6)=0,"",SWITCH(LOWER($D6),"buy",IFERROR(LOOKUP(2,1/($B$1:B5=B6),$O$1:O5),0)+$E6,"drip",IFERROR(LOOKUP(2,1/($B$1:B5=B6),$O$1:O5),0)+$E6,"sell",IFERROR(LOOKUP(2,1/($B$1:B5=B6),$O$1:O5),0)-$E6,"return_of_capital",IFERROR(LOOKUP(2,1/($B$1:B5=B6),$O$1:O5),0),"split",$E6,IFERROR(LOOKUP(2,1/($B$1:B5=B6),$O$1:O5),0)))</x:f>
        <x:v>100</x:v>
      </x:c>
      <x:c r="P6" t="n">
        <x:f>IF(COUNTA($A6:$D6)=0,"",SWITCH(LOWER($D6),"buy",IFERROR(LOOKUP(2,1/($B$1:B5=B6),$P$1:P5),0)+$M6+$N6,"drip",IFERROR(LOOKUP(2,1/($B$1:B5=B6),$P$1:P5),0)+$M6+$N6,"sell",IFERROR(LOOKUP(2,1/($B$1:B5=B6),$P$1:P5),0)-IFERROR(IFERROR(LOOKUP(2,1/($B$1:B5=B6),$P$1:P5),0)/IFERROR(LOOKUP(2,1/($B$1:B5=B6),$O$1:O5),0)*$E6,0),"return_of_capital",IFERROR(LOOKUP(2,1/($B$1:B5=B6),$P$1:P5),0)-ABS($M6),"split",IFERROR(LOOKUP(2,1/($B$1:B5=B6),$P$1:P5),0),IFERROR(LOOKUP(2,1/($B$1:B5=B6),$P$1:P5),0)))</x:f>
        <x:v>2987.6</x:v>
      </x:c>
      <x:c r="Q6" t="n">
        <x:f>IFERROR($P6/$O6,"")</x:f>
        <x:v>29.875999999999998</x:v>
      </x:c>
      <x:c r="R6" t="str">
        <x:f>IF(LOWER($D6)="sell",$M6-$N6-IFERROR(IFERROR(LOOKUP(2,1/($B$1:B5=B6),$P$1:P5),0)/IFERROR(LOOKUP(2,1/($B$1:B5=B6),$O$1:O5),0)*$E6,0),"")</x:f>
      </x:c>
      <x:c r="S6" t="str">
        <x:f>IF(COUNTA($A6:$D6)=0,"",IF($B6="","Missing symbol",IF($D6="","Missing action",IF(AND(LOWER($D6)="sell",$E6&gt;IFERROR(LOOKUP(2,1/($B$1:B5=B6),$O$1:O5),0)),"Sold more units than available","OK"))))</x:f>
        <x:v>OK</x:v>
      </x:c>
    </x:row>
    <x:row r="7">
      <x:c r="M7" t="str">
        <x:f>IF(COUNTA($A7:$D7)=0,"",IF($G7&lt;&gt;"",$G7,IF(AND($E7&lt;&gt;"",$F7&lt;&gt;""),$E7*$F7,""))*IF($J7&lt;&gt;"",$J7,1))</x:f>
      </x:c>
      <x:c r="N7" t="str">
        <x:f>IF(COUNTA($A7:$D7)=0,"",IF($H7&lt;&gt;"",$H7,0)*IF($J7&lt;&gt;"",$J7,1))</x:f>
      </x:c>
      <x:c r="O7" t="str">
        <x:f>IF(COUNTA($A7:$D7)=0,"",SWITCH(LOWER($D7),"buy",IFERROR(LOOKUP(2,1/($B$1:B6=B7),$O$1:O6),0)+$E7,"drip",IFERROR(LOOKUP(2,1/($B$1:B6=B7),$O$1:O6),0)+$E7,"sell",IFERROR(LOOKUP(2,1/($B$1:B6=B7),$O$1:O6),0)-$E7,"return_of_capital",IFERROR(LOOKUP(2,1/($B$1:B6=B7),$O$1:O6),0),"split",$E7,IFERROR(LOOKUP(2,1/($B$1:B6=B7),$O$1:O6),0)))</x:f>
      </x:c>
      <x:c r="P7" t="str">
        <x:f>IF(COUNTA($A7:$D7)=0,"",SWITCH(LOWER($D7),"buy",IFERROR(LOOKUP(2,1/($B$1:B6=B7),$P$1:P6),0)+$M7+$N7,"drip",IFERROR(LOOKUP(2,1/($B$1:B6=B7),$P$1:P6),0)+$M7+$N7,"sell",IFERROR(LOOKUP(2,1/($B$1:B6=B7),$P$1:P6),0)-IFERROR(IFERROR(LOOKUP(2,1/($B$1:B6=B7),$P$1:P6),0)/IFERROR(LOOKUP(2,1/($B$1:B6=B7),$O$1:O6),0)*$E7,0),"return_of_capital",IFERROR(LOOKUP(2,1/($B$1:B6=B7),$P$1:P6),0)-ABS($M7),"split",IFERROR(LOOKUP(2,1/($B$1:B6=B7),$P$1:P6),0),IFERROR(LOOKUP(2,1/($B$1:B6=B7),$P$1:P6),0)))</x:f>
      </x:c>
      <x:c r="Q7" t="str">
        <x:f>IFERROR($P7/$O7,"")</x:f>
      </x:c>
      <x:c r="R7" t="str">
        <x:f>IF(LOWER($D7)="sell",$M7-$N7-IFERROR(IFERROR(LOOKUP(2,1/($B$1:B6=B7),$P$1:P6),0)/IFERROR(LOOKUP(2,1/($B$1:B6=B7),$O$1:O6),0)*$E7,0),"")</x:f>
      </x:c>
      <x:c r="S7" t="str">
        <x:f>IF(COUNTA($A7:$D7)=0,"",IF($B7="","Missing symbol",IF($D7="","Missing action",IF(AND(LOWER($D7)="sell",$E7&gt;IFERROR(LOOKUP(2,1/($B$1:B6=B7),$O$1:O6),0)),"Sold more units than available","OK"))))</x:f>
      </x:c>
    </x:row>
    <x:row r="8">
      <x:c r="M8" t="str">
        <x:f>IF(COUNTA($A8:$D8)=0,"",IF($G8&lt;&gt;"",$G8,IF(AND($E8&lt;&gt;"",$F8&lt;&gt;""),$E8*$F8,""))*IF($J8&lt;&gt;"",$J8,1))</x:f>
      </x:c>
      <x:c r="N8" t="str">
        <x:f>IF(COUNTA($A8:$D8)=0,"",IF($H8&lt;&gt;"",$H8,0)*IF($J8&lt;&gt;"",$J8,1))</x:f>
      </x:c>
      <x:c r="O8" t="str">
        <x:f>IF(COUNTA($A8:$D8)=0,"",SWITCH(LOWER($D8),"buy",IFERROR(LOOKUP(2,1/($B$1:B7=B8),$O$1:O7),0)+$E8,"drip",IFERROR(LOOKUP(2,1/($B$1:B7=B8),$O$1:O7),0)+$E8,"sell",IFERROR(LOOKUP(2,1/($B$1:B7=B8),$O$1:O7),0)-$E8,"return_of_capital",IFERROR(LOOKUP(2,1/($B$1:B7=B8),$O$1:O7),0),"split",$E8,IFERROR(LOOKUP(2,1/($B$1:B7=B8),$O$1:O7),0)))</x:f>
      </x:c>
      <x:c r="P8" t="str">
        <x:f>IF(COUNTA($A8:$D8)=0,"",SWITCH(LOWER($D8),"buy",IFERROR(LOOKUP(2,1/($B$1:B7=B8),$P$1:P7),0)+$M8+$N8,"drip",IFERROR(LOOKUP(2,1/($B$1:B7=B8),$P$1:P7),0)+$M8+$N8,"sell",IFERROR(LOOKUP(2,1/($B$1:B7=B8),$P$1:P7),0)-IFERROR(IFERROR(LOOKUP(2,1/($B$1:B7=B8),$P$1:P7),0)/IFERROR(LOOKUP(2,1/($B$1:B7=B8),$O$1:O7),0)*$E8,0),"return_of_capital",IFERROR(LOOKUP(2,1/($B$1:B7=B8),$P$1:P7),0)-ABS($M8),"split",IFERROR(LOOKUP(2,1/($B$1:B7=B8),$P$1:P7),0),IFERROR(LOOKUP(2,1/($B$1:B7=B8),$P$1:P7),0)))</x:f>
      </x:c>
      <x:c r="Q8" t="str">
        <x:f>IFERROR($P8/$O8,"")</x:f>
      </x:c>
      <x:c r="R8" t="str">
        <x:f>IF(LOWER($D8)="sell",$M8-$N8-IFERROR(IFERROR(LOOKUP(2,1/($B$1:B7=B8),$P$1:P7),0)/IFERROR(LOOKUP(2,1/($B$1:B7=B8),$O$1:O7),0)*$E8,0),"")</x:f>
      </x:c>
      <x:c r="S8" t="str">
        <x:f>IF(COUNTA($A8:$D8)=0,"",IF($B8="","Missing symbol",IF($D8="","Missing action",IF(AND(LOWER($D8)="sell",$E8&gt;IFERROR(LOOKUP(2,1/($B$1:B7=B8),$O$1:O7),0)),"Sold more units than available","OK"))))</x:f>
      </x:c>
    </x:row>
    <x:row r="9">
      <x:c r="M9" t="str">
        <x:f>IF(COUNTA($A9:$D9)=0,"",IF($G9&lt;&gt;"",$G9,IF(AND($E9&lt;&gt;"",$F9&lt;&gt;""),$E9*$F9,""))*IF($J9&lt;&gt;"",$J9,1))</x:f>
      </x:c>
      <x:c r="N9" t="str">
        <x:f>IF(COUNTA($A9:$D9)=0,"",IF($H9&lt;&gt;"",$H9,0)*IF($J9&lt;&gt;"",$J9,1))</x:f>
      </x:c>
      <x:c r="O9" t="str">
        <x:f>IF(COUNTA($A9:$D9)=0,"",SWITCH(LOWER($D9),"buy",IFERROR(LOOKUP(2,1/($B$1:B8=B9),$O$1:O8),0)+$E9,"drip",IFERROR(LOOKUP(2,1/($B$1:B8=B9),$O$1:O8),0)+$E9,"sell",IFERROR(LOOKUP(2,1/($B$1:B8=B9),$O$1:O8),0)-$E9,"return_of_capital",IFERROR(LOOKUP(2,1/($B$1:B8=B9),$O$1:O8),0),"split",$E9,IFERROR(LOOKUP(2,1/($B$1:B8=B9),$O$1:O8),0)))</x:f>
      </x:c>
      <x:c r="P9" t="str">
        <x:f>IF(COUNTA($A9:$D9)=0,"",SWITCH(LOWER($D9),"buy",IFERROR(LOOKUP(2,1/($B$1:B8=B9),$P$1:P8),0)+$M9+$N9,"drip",IFERROR(LOOKUP(2,1/($B$1:B8=B9),$P$1:P8),0)+$M9+$N9,"sell",IFERROR(LOOKUP(2,1/($B$1:B8=B9),$P$1:P8),0)-IFERROR(IFERROR(LOOKUP(2,1/($B$1:B8=B9),$P$1:P8),0)/IFERROR(LOOKUP(2,1/($B$1:B8=B9),$O$1:O8),0)*$E9,0),"return_of_capital",IFERROR(LOOKUP(2,1/($B$1:B8=B9),$P$1:P8),0)-ABS($M9),"split",IFERROR(LOOKUP(2,1/($B$1:B8=B9),$P$1:P8),0),IFERROR(LOOKUP(2,1/($B$1:B8=B9),$P$1:P8),0)))</x:f>
      </x:c>
      <x:c r="Q9" t="str">
        <x:f>IFERROR($P9/$O9,"")</x:f>
      </x:c>
      <x:c r="R9" t="str">
        <x:f>IF(LOWER($D9)="sell",$M9-$N9-IFERROR(IFERROR(LOOKUP(2,1/($B$1:B8=B9),$P$1:P8),0)/IFERROR(LOOKUP(2,1/($B$1:B8=B9),$O$1:O8),0)*$E9,0),"")</x:f>
      </x:c>
      <x:c r="S9" t="str">
        <x:f>IF(COUNTA($A9:$D9)=0,"",IF($B9="","Missing symbol",IF($D9="","Missing action",IF(AND(LOWER($D9)="sell",$E9&gt;IFERROR(LOOKUP(2,1/($B$1:B8=B9),$O$1:O8),0)),"Sold more units than available","OK"))))</x:f>
      </x:c>
    </x:row>
    <x:row r="10">
      <x:c r="M10" t="str">
        <x:f>IF(COUNTA($A10:$D10)=0,"",IF($G10&lt;&gt;"",$G10,IF(AND($E10&lt;&gt;"",$F10&lt;&gt;""),$E10*$F10,""))*IF($J10&lt;&gt;"",$J10,1))</x:f>
      </x:c>
      <x:c r="N10" t="str">
        <x:f>IF(COUNTA($A10:$D10)=0,"",IF($H10&lt;&gt;"",$H10,0)*IF($J10&lt;&gt;"",$J10,1))</x:f>
      </x:c>
      <x:c r="O10" t="str">
        <x:f>IF(COUNTA($A10:$D10)=0,"",SWITCH(LOWER($D10),"buy",IFERROR(LOOKUP(2,1/($B$1:B9=B10),$O$1:O9),0)+$E10,"drip",IFERROR(LOOKUP(2,1/($B$1:B9=B10),$O$1:O9),0)+$E10,"sell",IFERROR(LOOKUP(2,1/($B$1:B9=B10),$O$1:O9),0)-$E10,"return_of_capital",IFERROR(LOOKUP(2,1/($B$1:B9=B10),$O$1:O9),0),"split",$E10,IFERROR(LOOKUP(2,1/($B$1:B9=B10),$O$1:O9),0)))</x:f>
      </x:c>
      <x:c r="P10" t="str">
        <x:f>IF(COUNTA($A10:$D10)=0,"",SWITCH(LOWER($D10),"buy",IFERROR(LOOKUP(2,1/($B$1:B9=B10),$P$1:P9),0)+$M10+$N10,"drip",IFERROR(LOOKUP(2,1/($B$1:B9=B10),$P$1:P9),0)+$M10+$N10,"sell",IFERROR(LOOKUP(2,1/($B$1:B9=B10),$P$1:P9),0)-IFERROR(IFERROR(LOOKUP(2,1/($B$1:B9=B10),$P$1:P9),0)/IFERROR(LOOKUP(2,1/($B$1:B9=B10),$O$1:O9),0)*$E10,0),"return_of_capital",IFERROR(LOOKUP(2,1/($B$1:B9=B10),$P$1:P9),0)-ABS($M10),"split",IFERROR(LOOKUP(2,1/($B$1:B9=B10),$P$1:P9),0),IFERROR(LOOKUP(2,1/($B$1:B9=B10),$P$1:P9),0)))</x:f>
      </x:c>
      <x:c r="Q10" t="str">
        <x:f>IFERROR($P10/$O10,"")</x:f>
      </x:c>
      <x:c r="R10" t="str">
        <x:f>IF(LOWER($D10)="sell",$M10-$N10-IFERROR(IFERROR(LOOKUP(2,1/($B$1:B9=B10),$P$1:P9),0)/IFERROR(LOOKUP(2,1/($B$1:B9=B10),$O$1:O9),0)*$E10,0),"")</x:f>
      </x:c>
      <x:c r="S10" t="str">
        <x:f>IF(COUNTA($A10:$D10)=0,"",IF($B10="","Missing symbol",IF($D10="","Missing action",IF(AND(LOWER($D10)="sell",$E10&gt;IFERROR(LOOKUP(2,1/($B$1:B9=B10),$O$1:O9),0)),"Sold more units than available","OK"))))</x:f>
      </x:c>
    </x:row>
    <x:row r="11">
      <x:c r="M11" t="str">
        <x:f>IF(COUNTA($A11:$D11)=0,"",IF($G11&lt;&gt;"",$G11,IF(AND($E11&lt;&gt;"",$F11&lt;&gt;""),$E11*$F11,""))*IF($J11&lt;&gt;"",$J11,1))</x:f>
      </x:c>
      <x:c r="N11" t="str">
        <x:f>IF(COUNTA($A11:$D11)=0,"",IF($H11&lt;&gt;"",$H11,0)*IF($J11&lt;&gt;"",$J11,1))</x:f>
      </x:c>
      <x:c r="O11" t="str">
        <x:f>IF(COUNTA($A11:$D11)=0,"",SWITCH(LOWER($D11),"buy",IFERROR(LOOKUP(2,1/($B$1:B10=B11),$O$1:O10),0)+$E11,"drip",IFERROR(LOOKUP(2,1/($B$1:B10=B11),$O$1:O10),0)+$E11,"sell",IFERROR(LOOKUP(2,1/($B$1:B10=B11),$O$1:O10),0)-$E11,"return_of_capital",IFERROR(LOOKUP(2,1/($B$1:B10=B11),$O$1:O10),0),"split",$E11,IFERROR(LOOKUP(2,1/($B$1:B10=B11),$O$1:O10),0)))</x:f>
      </x:c>
      <x:c r="P11" t="str">
        <x:f>IF(COUNTA($A11:$D11)=0,"",SWITCH(LOWER($D11),"buy",IFERROR(LOOKUP(2,1/($B$1:B10=B11),$P$1:P10),0)+$M11+$N11,"drip",IFERROR(LOOKUP(2,1/($B$1:B10=B11),$P$1:P10),0)+$M11+$N11,"sell",IFERROR(LOOKUP(2,1/($B$1:B10=B11),$P$1:P10),0)-IFERROR(IFERROR(LOOKUP(2,1/($B$1:B10=B11),$P$1:P10),0)/IFERROR(LOOKUP(2,1/($B$1:B10=B11),$O$1:O10),0)*$E11,0),"return_of_capital",IFERROR(LOOKUP(2,1/($B$1:B10=B11),$P$1:P10),0)-ABS($M11),"split",IFERROR(LOOKUP(2,1/($B$1:B10=B11),$P$1:P10),0),IFERROR(LOOKUP(2,1/($B$1:B10=B11),$P$1:P10),0)))</x:f>
      </x:c>
      <x:c r="Q11" t="str">
        <x:f>IFERROR($P11/$O11,"")</x:f>
      </x:c>
      <x:c r="R11" t="str">
        <x:f>IF(LOWER($D11)="sell",$M11-$N11-IFERROR(IFERROR(LOOKUP(2,1/($B$1:B10=B11),$P$1:P10),0)/IFERROR(LOOKUP(2,1/($B$1:B10=B11),$O$1:O10),0)*$E11,0),"")</x:f>
      </x:c>
      <x:c r="S11" t="str">
        <x:f>IF(COUNTA($A11:$D11)=0,"",IF($B11="","Missing symbol",IF($D11="","Missing action",IF(AND(LOWER($D11)="sell",$E11&gt;IFERROR(LOOKUP(2,1/($B$1:B10=B11),$O$1:O10),0)),"Sold more units than available","OK"))))</x:f>
      </x:c>
    </x:row>
    <x:row r="12">
      <x:c r="M12" t="str">
        <x:f>IF(COUNTA($A12:$D12)=0,"",IF($G12&lt;&gt;"",$G12,IF(AND($E12&lt;&gt;"",$F12&lt;&gt;""),$E12*$F12,""))*IF($J12&lt;&gt;"",$J12,1))</x:f>
      </x:c>
      <x:c r="N12" t="str">
        <x:f>IF(COUNTA($A12:$D12)=0,"",IF($H12&lt;&gt;"",$H12,0)*IF($J12&lt;&gt;"",$J12,1))</x:f>
      </x:c>
      <x:c r="O12" t="str">
        <x:f>IF(COUNTA($A12:$D12)=0,"",SWITCH(LOWER($D12),"buy",IFERROR(LOOKUP(2,1/($B$1:B11=B12),$O$1:O11),0)+$E12,"drip",IFERROR(LOOKUP(2,1/($B$1:B11=B12),$O$1:O11),0)+$E12,"sell",IFERROR(LOOKUP(2,1/($B$1:B11=B12),$O$1:O11),0)-$E12,"return_of_capital",IFERROR(LOOKUP(2,1/($B$1:B11=B12),$O$1:O11),0),"split",$E12,IFERROR(LOOKUP(2,1/($B$1:B11=B12),$O$1:O11),0)))</x:f>
      </x:c>
      <x:c r="P12" t="str">
        <x:f>IF(COUNTA($A12:$D12)=0,"",SWITCH(LOWER($D12),"buy",IFERROR(LOOKUP(2,1/($B$1:B11=B12),$P$1:P11),0)+$M12+$N12,"drip",IFERROR(LOOKUP(2,1/($B$1:B11=B12),$P$1:P11),0)+$M12+$N12,"sell",IFERROR(LOOKUP(2,1/($B$1:B11=B12),$P$1:P11),0)-IFERROR(IFERROR(LOOKUP(2,1/($B$1:B11=B12),$P$1:P11),0)/IFERROR(LOOKUP(2,1/($B$1:B11=B12),$O$1:O11),0)*$E12,0),"return_of_capital",IFERROR(LOOKUP(2,1/($B$1:B11=B12),$P$1:P11),0)-ABS($M12),"split",IFERROR(LOOKUP(2,1/($B$1:B11=B12),$P$1:P11),0),IFERROR(LOOKUP(2,1/($B$1:B11=B12),$P$1:P11),0)))</x:f>
      </x:c>
      <x:c r="Q12" t="str">
        <x:f>IFERROR($P12/$O12,"")</x:f>
      </x:c>
      <x:c r="R12" t="str">
        <x:f>IF(LOWER($D12)="sell",$M12-$N12-IFERROR(IFERROR(LOOKUP(2,1/($B$1:B11=B12),$P$1:P11),0)/IFERROR(LOOKUP(2,1/($B$1:B11=B12),$O$1:O11),0)*$E12,0),"")</x:f>
      </x:c>
      <x:c r="S12" t="str">
        <x:f>IF(COUNTA($A12:$D12)=0,"",IF($B12="","Missing symbol",IF($D12="","Missing action",IF(AND(LOWER($D12)="sell",$E12&gt;IFERROR(LOOKUP(2,1/($B$1:B11=B12),$O$1:O11),0)),"Sold more units than available","OK"))))</x:f>
      </x:c>
    </x:row>
    <x:row r="13">
      <x:c r="M13" t="str">
        <x:f>IF(COUNTA($A13:$D13)=0,"",IF($G13&lt;&gt;"",$G13,IF(AND($E13&lt;&gt;"",$F13&lt;&gt;""),$E13*$F13,""))*IF($J13&lt;&gt;"",$J13,1))</x:f>
      </x:c>
      <x:c r="N13" t="str">
        <x:f>IF(COUNTA($A13:$D13)=0,"",IF($H13&lt;&gt;"",$H13,0)*IF($J13&lt;&gt;"",$J13,1))</x:f>
      </x:c>
      <x:c r="O13" t="str">
        <x:f>IF(COUNTA($A13:$D13)=0,"",SWITCH(LOWER($D13),"buy",IFERROR(LOOKUP(2,1/($B$1:B12=B13),$O$1:O12),0)+$E13,"drip",IFERROR(LOOKUP(2,1/($B$1:B12=B13),$O$1:O12),0)+$E13,"sell",IFERROR(LOOKUP(2,1/($B$1:B12=B13),$O$1:O12),0)-$E13,"return_of_capital",IFERROR(LOOKUP(2,1/($B$1:B12=B13),$O$1:O12),0),"split",$E13,IFERROR(LOOKUP(2,1/($B$1:B12=B13),$O$1:O12),0)))</x:f>
      </x:c>
      <x:c r="P13" t="str">
        <x:f>IF(COUNTA($A13:$D13)=0,"",SWITCH(LOWER($D13),"buy",IFERROR(LOOKUP(2,1/($B$1:B12=B13),$P$1:P12),0)+$M13+$N13,"drip",IFERROR(LOOKUP(2,1/($B$1:B12=B13),$P$1:P12),0)+$M13+$N13,"sell",IFERROR(LOOKUP(2,1/($B$1:B12=B13),$P$1:P12),0)-IFERROR(IFERROR(LOOKUP(2,1/($B$1:B12=B13),$P$1:P12),0)/IFERROR(LOOKUP(2,1/($B$1:B12=B13),$O$1:O12),0)*$E13,0),"return_of_capital",IFERROR(LOOKUP(2,1/($B$1:B12=B13),$P$1:P12),0)-ABS($M13),"split",IFERROR(LOOKUP(2,1/($B$1:B12=B13),$P$1:P12),0),IFERROR(LOOKUP(2,1/($B$1:B12=B13),$P$1:P12),0)))</x:f>
      </x:c>
      <x:c r="Q13" t="str">
        <x:f>IFERROR($P13/$O13,"")</x:f>
      </x:c>
      <x:c r="R13" t="str">
        <x:f>IF(LOWER($D13)="sell",$M13-$N13-IFERROR(IFERROR(LOOKUP(2,1/($B$1:B12=B13),$P$1:P12),0)/IFERROR(LOOKUP(2,1/($B$1:B12=B13),$O$1:O12),0)*$E13,0),"")</x:f>
      </x:c>
      <x:c r="S13" t="str">
        <x:f>IF(COUNTA($A13:$D13)=0,"",IF($B13="","Missing symbol",IF($D13="","Missing action",IF(AND(LOWER($D13)="sell",$E13&gt;IFERROR(LOOKUP(2,1/($B$1:B12=B13),$O$1:O12),0)),"Sold more units than available","OK"))))</x:f>
      </x:c>
    </x:row>
    <x:row r="14">
      <x:c r="M14" t="str">
        <x:f>IF(COUNTA($A14:$D14)=0,"",IF($G14&lt;&gt;"",$G14,IF(AND($E14&lt;&gt;"",$F14&lt;&gt;""),$E14*$F14,""))*IF($J14&lt;&gt;"",$J14,1))</x:f>
      </x:c>
      <x:c r="N14" t="str">
        <x:f>IF(COUNTA($A14:$D14)=0,"",IF($H14&lt;&gt;"",$H14,0)*IF($J14&lt;&gt;"",$J14,1))</x:f>
      </x:c>
      <x:c r="O14" t="str">
        <x:f>IF(COUNTA($A14:$D14)=0,"",SWITCH(LOWER($D14),"buy",IFERROR(LOOKUP(2,1/($B$1:B13=B14),$O$1:O13),0)+$E14,"drip",IFERROR(LOOKUP(2,1/($B$1:B13=B14),$O$1:O13),0)+$E14,"sell",IFERROR(LOOKUP(2,1/($B$1:B13=B14),$O$1:O13),0)-$E14,"return_of_capital",IFERROR(LOOKUP(2,1/($B$1:B13=B14),$O$1:O13),0),"split",$E14,IFERROR(LOOKUP(2,1/($B$1:B13=B14),$O$1:O13),0)))</x:f>
      </x:c>
      <x:c r="P14" t="str">
        <x:f>IF(COUNTA($A14:$D14)=0,"",SWITCH(LOWER($D14),"buy",IFERROR(LOOKUP(2,1/($B$1:B13=B14),$P$1:P13),0)+$M14+$N14,"drip",IFERROR(LOOKUP(2,1/($B$1:B13=B14),$P$1:P13),0)+$M14+$N14,"sell",IFERROR(LOOKUP(2,1/($B$1:B13=B14),$P$1:P13),0)-IFERROR(IFERROR(LOOKUP(2,1/($B$1:B13=B14),$P$1:P13),0)/IFERROR(LOOKUP(2,1/($B$1:B13=B14),$O$1:O13),0)*$E14,0),"return_of_capital",IFERROR(LOOKUP(2,1/($B$1:B13=B14),$P$1:P13),0)-ABS($M14),"split",IFERROR(LOOKUP(2,1/($B$1:B13=B14),$P$1:P13),0),IFERROR(LOOKUP(2,1/($B$1:B13=B14),$P$1:P13),0)))</x:f>
      </x:c>
      <x:c r="Q14" t="str">
        <x:f>IFERROR($P14/$O14,"")</x:f>
      </x:c>
      <x:c r="R14" t="str">
        <x:f>IF(LOWER($D14)="sell",$M14-$N14-IFERROR(IFERROR(LOOKUP(2,1/($B$1:B13=B14),$P$1:P13),0)/IFERROR(LOOKUP(2,1/($B$1:B13=B14),$O$1:O13),0)*$E14,0),"")</x:f>
      </x:c>
      <x:c r="S14" t="str">
        <x:f>IF(COUNTA($A14:$D14)=0,"",IF($B14="","Missing symbol",IF($D14="","Missing action",IF(AND(LOWER($D14)="sell",$E14&gt;IFERROR(LOOKUP(2,1/($B$1:B13=B14),$O$1:O13),0)),"Sold more units than available","OK"))))</x:f>
      </x:c>
    </x:row>
    <x:row r="15">
      <x:c r="M15" t="str">
        <x:f>IF(COUNTA($A15:$D15)=0,"",IF($G15&lt;&gt;"",$G15,IF(AND($E15&lt;&gt;"",$F15&lt;&gt;""),$E15*$F15,""))*IF($J15&lt;&gt;"",$J15,1))</x:f>
      </x:c>
      <x:c r="N15" t="str">
        <x:f>IF(COUNTA($A15:$D15)=0,"",IF($H15&lt;&gt;"",$H15,0)*IF($J15&lt;&gt;"",$J15,1))</x:f>
      </x:c>
      <x:c r="O15" t="str">
        <x:f>IF(COUNTA($A15:$D15)=0,"",SWITCH(LOWER($D15),"buy",IFERROR(LOOKUP(2,1/($B$1:B14=B15),$O$1:O14),0)+$E15,"drip",IFERROR(LOOKUP(2,1/($B$1:B14=B15),$O$1:O14),0)+$E15,"sell",IFERROR(LOOKUP(2,1/($B$1:B14=B15),$O$1:O14),0)-$E15,"return_of_capital",IFERROR(LOOKUP(2,1/($B$1:B14=B15),$O$1:O14),0),"split",$E15,IFERROR(LOOKUP(2,1/($B$1:B14=B15),$O$1:O14),0)))</x:f>
      </x:c>
      <x:c r="P15" t="str">
        <x:f>IF(COUNTA($A15:$D15)=0,"",SWITCH(LOWER($D15),"buy",IFERROR(LOOKUP(2,1/($B$1:B14=B15),$P$1:P14),0)+$M15+$N15,"drip",IFERROR(LOOKUP(2,1/($B$1:B14=B15),$P$1:P14),0)+$M15+$N15,"sell",IFERROR(LOOKUP(2,1/($B$1:B14=B15),$P$1:P14),0)-IFERROR(IFERROR(LOOKUP(2,1/($B$1:B14=B15),$P$1:P14),0)/IFERROR(LOOKUP(2,1/($B$1:B14=B15),$O$1:O14),0)*$E15,0),"return_of_capital",IFERROR(LOOKUP(2,1/($B$1:B14=B15),$P$1:P14),0)-ABS($M15),"split",IFERROR(LOOKUP(2,1/($B$1:B14=B15),$P$1:P14),0),IFERROR(LOOKUP(2,1/($B$1:B14=B15),$P$1:P14),0)))</x:f>
      </x:c>
      <x:c r="Q15" t="str">
        <x:f>IFERROR($P15/$O15,"")</x:f>
      </x:c>
      <x:c r="R15" t="str">
        <x:f>IF(LOWER($D15)="sell",$M15-$N15-IFERROR(IFERROR(LOOKUP(2,1/($B$1:B14=B15),$P$1:P14),0)/IFERROR(LOOKUP(2,1/($B$1:B14=B15),$O$1:O14),0)*$E15,0),"")</x:f>
      </x:c>
      <x:c r="S15" t="str">
        <x:f>IF(COUNTA($A15:$D15)=0,"",IF($B15="","Missing symbol",IF($D15="","Missing action",IF(AND(LOWER($D15)="sell",$E15&gt;IFERROR(LOOKUP(2,1/($B$1:B14=B15),$O$1:O14),0)),"Sold more units than available","OK"))))</x:f>
      </x:c>
    </x:row>
    <x:row r="16">
      <x:c r="M16" t="str">
        <x:f>IF(COUNTA($A16:$D16)=0,"",IF($G16&lt;&gt;"",$G16,IF(AND($E16&lt;&gt;"",$F16&lt;&gt;""),$E16*$F16,""))*IF($J16&lt;&gt;"",$J16,1))</x:f>
      </x:c>
      <x:c r="N16" t="str">
        <x:f>IF(COUNTA($A16:$D16)=0,"",IF($H16&lt;&gt;"",$H16,0)*IF($J16&lt;&gt;"",$J16,1))</x:f>
      </x:c>
      <x:c r="O16" t="str">
        <x:f>IF(COUNTA($A16:$D16)=0,"",SWITCH(LOWER($D16),"buy",IFERROR(LOOKUP(2,1/($B$1:B15=B16),$O$1:O15),0)+$E16,"drip",IFERROR(LOOKUP(2,1/($B$1:B15=B16),$O$1:O15),0)+$E16,"sell",IFERROR(LOOKUP(2,1/($B$1:B15=B16),$O$1:O15),0)-$E16,"return_of_capital",IFERROR(LOOKUP(2,1/($B$1:B15=B16),$O$1:O15),0),"split",$E16,IFERROR(LOOKUP(2,1/($B$1:B15=B16),$O$1:O15),0)))</x:f>
      </x:c>
      <x:c r="P16" t="str">
        <x:f>IF(COUNTA($A16:$D16)=0,"",SWITCH(LOWER($D16),"buy",IFERROR(LOOKUP(2,1/($B$1:B15=B16),$P$1:P15),0)+$M16+$N16,"drip",IFERROR(LOOKUP(2,1/($B$1:B15=B16),$P$1:P15),0)+$M16+$N16,"sell",IFERROR(LOOKUP(2,1/($B$1:B15=B16),$P$1:P15),0)-IFERROR(IFERROR(LOOKUP(2,1/($B$1:B15=B16),$P$1:P15),0)/IFERROR(LOOKUP(2,1/($B$1:B15=B16),$O$1:O15),0)*$E16,0),"return_of_capital",IFERROR(LOOKUP(2,1/($B$1:B15=B16),$P$1:P15),0)-ABS($M16),"split",IFERROR(LOOKUP(2,1/($B$1:B15=B16),$P$1:P15),0),IFERROR(LOOKUP(2,1/($B$1:B15=B16),$P$1:P15),0)))</x:f>
      </x:c>
      <x:c r="Q16" t="str">
        <x:f>IFERROR($P16/$O16,"")</x:f>
      </x:c>
      <x:c r="R16" t="str">
        <x:f>IF(LOWER($D16)="sell",$M16-$N16-IFERROR(IFERROR(LOOKUP(2,1/($B$1:B15=B16),$P$1:P15),0)/IFERROR(LOOKUP(2,1/($B$1:B15=B16),$O$1:O15),0)*$E16,0),"")</x:f>
      </x:c>
      <x:c r="S16" t="str">
        <x:f>IF(COUNTA($A16:$D16)=0,"",IF($B16="","Missing symbol",IF($D16="","Missing action",IF(AND(LOWER($D16)="sell",$E16&gt;IFERROR(LOOKUP(2,1/($B$1:B15=B16),$O$1:O15),0)),"Sold more units than available","OK"))))</x:f>
      </x:c>
    </x:row>
    <x:row r="17">
      <x:c r="M17" t="str">
        <x:f>IF(COUNTA($A17:$D17)=0,"",IF($G17&lt;&gt;"",$G17,IF(AND($E17&lt;&gt;"",$F17&lt;&gt;""),$E17*$F17,""))*IF($J17&lt;&gt;"",$J17,1))</x:f>
      </x:c>
      <x:c r="N17" t="str">
        <x:f>IF(COUNTA($A17:$D17)=0,"",IF($H17&lt;&gt;"",$H17,0)*IF($J17&lt;&gt;"",$J17,1))</x:f>
      </x:c>
      <x:c r="O17" t="str">
        <x:f>IF(COUNTA($A17:$D17)=0,"",SWITCH(LOWER($D17),"buy",IFERROR(LOOKUP(2,1/($B$1:B16=B17),$O$1:O16),0)+$E17,"drip",IFERROR(LOOKUP(2,1/($B$1:B16=B17),$O$1:O16),0)+$E17,"sell",IFERROR(LOOKUP(2,1/($B$1:B16=B17),$O$1:O16),0)-$E17,"return_of_capital",IFERROR(LOOKUP(2,1/($B$1:B16=B17),$O$1:O16),0),"split",$E17,IFERROR(LOOKUP(2,1/($B$1:B16=B17),$O$1:O16),0)))</x:f>
      </x:c>
      <x:c r="P17" t="str">
        <x:f>IF(COUNTA($A17:$D17)=0,"",SWITCH(LOWER($D17),"buy",IFERROR(LOOKUP(2,1/($B$1:B16=B17),$P$1:P16),0)+$M17+$N17,"drip",IFERROR(LOOKUP(2,1/($B$1:B16=B17),$P$1:P16),0)+$M17+$N17,"sell",IFERROR(LOOKUP(2,1/($B$1:B16=B17),$P$1:P16),0)-IFERROR(IFERROR(LOOKUP(2,1/($B$1:B16=B17),$P$1:P16),0)/IFERROR(LOOKUP(2,1/($B$1:B16=B17),$O$1:O16),0)*$E17,0),"return_of_capital",IFERROR(LOOKUP(2,1/($B$1:B16=B17),$P$1:P16),0)-ABS($M17),"split",IFERROR(LOOKUP(2,1/($B$1:B16=B17),$P$1:P16),0),IFERROR(LOOKUP(2,1/($B$1:B16=B17),$P$1:P16),0)))</x:f>
      </x:c>
      <x:c r="Q17" t="str">
        <x:f>IFERROR($P17/$O17,"")</x:f>
      </x:c>
      <x:c r="R17" t="str">
        <x:f>IF(LOWER($D17)="sell",$M17-$N17-IFERROR(IFERROR(LOOKUP(2,1/($B$1:B16=B17),$P$1:P16),0)/IFERROR(LOOKUP(2,1/($B$1:B16=B17),$O$1:O16),0)*$E17,0),"")</x:f>
      </x:c>
      <x:c r="S17" t="str">
        <x:f>IF(COUNTA($A17:$D17)=0,"",IF($B17="","Missing symbol",IF($D17="","Missing action",IF(AND(LOWER($D17)="sell",$E17&gt;IFERROR(LOOKUP(2,1/($B$1:B16=B17),$O$1:O16),0)),"Sold more units than available","OK"))))</x:f>
      </x:c>
    </x:row>
    <x:row r="18">
      <x:c r="M18" t="str">
        <x:f>IF(COUNTA($A18:$D18)=0,"",IF($G18&lt;&gt;"",$G18,IF(AND($E18&lt;&gt;"",$F18&lt;&gt;""),$E18*$F18,""))*IF($J18&lt;&gt;"",$J18,1))</x:f>
      </x:c>
      <x:c r="N18" t="str">
        <x:f>IF(COUNTA($A18:$D18)=0,"",IF($H18&lt;&gt;"",$H18,0)*IF($J18&lt;&gt;"",$J18,1))</x:f>
      </x:c>
      <x:c r="O18" t="str">
        <x:f>IF(COUNTA($A18:$D18)=0,"",SWITCH(LOWER($D18),"buy",IFERROR(LOOKUP(2,1/($B$1:B17=B18),$O$1:O17),0)+$E18,"drip",IFERROR(LOOKUP(2,1/($B$1:B17=B18),$O$1:O17),0)+$E18,"sell",IFERROR(LOOKUP(2,1/($B$1:B17=B18),$O$1:O17),0)-$E18,"return_of_capital",IFERROR(LOOKUP(2,1/($B$1:B17=B18),$O$1:O17),0),"split",$E18,IFERROR(LOOKUP(2,1/($B$1:B17=B18),$O$1:O17),0)))</x:f>
      </x:c>
      <x:c r="P18" t="str">
        <x:f>IF(COUNTA($A18:$D18)=0,"",SWITCH(LOWER($D18),"buy",IFERROR(LOOKUP(2,1/($B$1:B17=B18),$P$1:P17),0)+$M18+$N18,"drip",IFERROR(LOOKUP(2,1/($B$1:B17=B18),$P$1:P17),0)+$M18+$N18,"sell",IFERROR(LOOKUP(2,1/($B$1:B17=B18),$P$1:P17),0)-IFERROR(IFERROR(LOOKUP(2,1/($B$1:B17=B18),$P$1:P17),0)/IFERROR(LOOKUP(2,1/($B$1:B17=B18),$O$1:O17),0)*$E18,0),"return_of_capital",IFERROR(LOOKUP(2,1/($B$1:B17=B18),$P$1:P17),0)-ABS($M18),"split",IFERROR(LOOKUP(2,1/($B$1:B17=B18),$P$1:P17),0),IFERROR(LOOKUP(2,1/($B$1:B17=B18),$P$1:P17),0)))</x:f>
      </x:c>
      <x:c r="Q18" t="str">
        <x:f>IFERROR($P18/$O18,"")</x:f>
      </x:c>
      <x:c r="R18" t="str">
        <x:f>IF(LOWER($D18)="sell",$M18-$N18-IFERROR(IFERROR(LOOKUP(2,1/($B$1:B17=B18),$P$1:P17),0)/IFERROR(LOOKUP(2,1/($B$1:B17=B18),$O$1:O17),0)*$E18,0),"")</x:f>
      </x:c>
      <x:c r="S18" t="str">
        <x:f>IF(COUNTA($A18:$D18)=0,"",IF($B18="","Missing symbol",IF($D18="","Missing action",IF(AND(LOWER($D18)="sell",$E18&gt;IFERROR(LOOKUP(2,1/($B$1:B17=B18),$O$1:O17),0)),"Sold more units than available","OK"))))</x:f>
      </x:c>
    </x:row>
    <x:row r="19">
      <x:c r="M19" t="str">
        <x:f>IF(COUNTA($A19:$D19)=0,"",IF($G19&lt;&gt;"",$G19,IF(AND($E19&lt;&gt;"",$F19&lt;&gt;""),$E19*$F19,""))*IF($J19&lt;&gt;"",$J19,1))</x:f>
      </x:c>
      <x:c r="N19" t="str">
        <x:f>IF(COUNTA($A19:$D19)=0,"",IF($H19&lt;&gt;"",$H19,0)*IF($J19&lt;&gt;"",$J19,1))</x:f>
      </x:c>
      <x:c r="O19" t="str">
        <x:f>IF(COUNTA($A19:$D19)=0,"",SWITCH(LOWER($D19),"buy",IFERROR(LOOKUP(2,1/($B$1:B18=B19),$O$1:O18),0)+$E19,"drip",IFERROR(LOOKUP(2,1/($B$1:B18=B19),$O$1:O18),0)+$E19,"sell",IFERROR(LOOKUP(2,1/($B$1:B18=B19),$O$1:O18),0)-$E19,"return_of_capital",IFERROR(LOOKUP(2,1/($B$1:B18=B19),$O$1:O18),0),"split",$E19,IFERROR(LOOKUP(2,1/($B$1:B18=B19),$O$1:O18),0)))</x:f>
      </x:c>
      <x:c r="P19" t="str">
        <x:f>IF(COUNTA($A19:$D19)=0,"",SWITCH(LOWER($D19),"buy",IFERROR(LOOKUP(2,1/($B$1:B18=B19),$P$1:P18),0)+$M19+$N19,"drip",IFERROR(LOOKUP(2,1/($B$1:B18=B19),$P$1:P18),0)+$M19+$N19,"sell",IFERROR(LOOKUP(2,1/($B$1:B18=B19),$P$1:P18),0)-IFERROR(IFERROR(LOOKUP(2,1/($B$1:B18=B19),$P$1:P18),0)/IFERROR(LOOKUP(2,1/($B$1:B18=B19),$O$1:O18),0)*$E19,0),"return_of_capital",IFERROR(LOOKUP(2,1/($B$1:B18=B19),$P$1:P18),0)-ABS($M19),"split",IFERROR(LOOKUP(2,1/($B$1:B18=B19),$P$1:P18),0),IFERROR(LOOKUP(2,1/($B$1:B18=B19),$P$1:P18),0)))</x:f>
      </x:c>
      <x:c r="Q19" t="str">
        <x:f>IFERROR($P19/$O19,"")</x:f>
      </x:c>
      <x:c r="R19" t="str">
        <x:f>IF(LOWER($D19)="sell",$M19-$N19-IFERROR(IFERROR(LOOKUP(2,1/($B$1:B18=B19),$P$1:P18),0)/IFERROR(LOOKUP(2,1/($B$1:B18=B19),$O$1:O18),0)*$E19,0),"")</x:f>
      </x:c>
      <x:c r="S19" t="str">
        <x:f>IF(COUNTA($A19:$D19)=0,"",IF($B19="","Missing symbol",IF($D19="","Missing action",IF(AND(LOWER($D19)="sell",$E19&gt;IFERROR(LOOKUP(2,1/($B$1:B18=B19),$O$1:O18),0)),"Sold more units than available","OK"))))</x:f>
      </x:c>
    </x:row>
    <x:row r="20">
      <x:c r="M20" t="str">
        <x:f>IF(COUNTA($A20:$D20)=0,"",IF($G20&lt;&gt;"",$G20,IF(AND($E20&lt;&gt;"",$F20&lt;&gt;""),$E20*$F20,""))*IF($J20&lt;&gt;"",$J20,1))</x:f>
      </x:c>
      <x:c r="N20" t="str">
        <x:f>IF(COUNTA($A20:$D20)=0,"",IF($H20&lt;&gt;"",$H20,0)*IF($J20&lt;&gt;"",$J20,1))</x:f>
      </x:c>
      <x:c r="O20" t="str">
        <x:f>IF(COUNTA($A20:$D20)=0,"",SWITCH(LOWER($D20),"buy",IFERROR(LOOKUP(2,1/($B$1:B19=B20),$O$1:O19),0)+$E20,"drip",IFERROR(LOOKUP(2,1/($B$1:B19=B20),$O$1:O19),0)+$E20,"sell",IFERROR(LOOKUP(2,1/($B$1:B19=B20),$O$1:O19),0)-$E20,"return_of_capital",IFERROR(LOOKUP(2,1/($B$1:B19=B20),$O$1:O19),0),"split",$E20,IFERROR(LOOKUP(2,1/($B$1:B19=B20),$O$1:O19),0)))</x:f>
      </x:c>
      <x:c r="P20" t="str">
        <x:f>IF(COUNTA($A20:$D20)=0,"",SWITCH(LOWER($D20),"buy",IFERROR(LOOKUP(2,1/($B$1:B19=B20),$P$1:P19),0)+$M20+$N20,"drip",IFERROR(LOOKUP(2,1/($B$1:B19=B20),$P$1:P19),0)+$M20+$N20,"sell",IFERROR(LOOKUP(2,1/($B$1:B19=B20),$P$1:P19),0)-IFERROR(IFERROR(LOOKUP(2,1/($B$1:B19=B20),$P$1:P19),0)/IFERROR(LOOKUP(2,1/($B$1:B19=B20),$O$1:O19),0)*$E20,0),"return_of_capital",IFERROR(LOOKUP(2,1/($B$1:B19=B20),$P$1:P19),0)-ABS($M20),"split",IFERROR(LOOKUP(2,1/($B$1:B19=B20),$P$1:P19),0),IFERROR(LOOKUP(2,1/($B$1:B19=B20),$P$1:P19),0)))</x:f>
      </x:c>
      <x:c r="Q20" t="str">
        <x:f>IFERROR($P20/$O20,"")</x:f>
      </x:c>
      <x:c r="R20" t="str">
        <x:f>IF(LOWER($D20)="sell",$M20-$N20-IFERROR(IFERROR(LOOKUP(2,1/($B$1:B19=B20),$P$1:P19),0)/IFERROR(LOOKUP(2,1/($B$1:B19=B20),$O$1:O19),0)*$E20,0),"")</x:f>
      </x:c>
      <x:c r="S20" t="str">
        <x:f>IF(COUNTA($A20:$D20)=0,"",IF($B20="","Missing symbol",IF($D20="","Missing action",IF(AND(LOWER($D20)="sell",$E20&gt;IFERROR(LOOKUP(2,1/($B$1:B19=B20),$O$1:O19),0)),"Sold more units than available","OK"))))</x:f>
      </x:c>
    </x:row>
    <x:row r="21">
      <x:c r="M21" t="str">
        <x:f>IF(COUNTA($A21:$D21)=0,"",IF($G21&lt;&gt;"",$G21,IF(AND($E21&lt;&gt;"",$F21&lt;&gt;""),$E21*$F21,""))*IF($J21&lt;&gt;"",$J21,1))</x:f>
      </x:c>
      <x:c r="N21" t="str">
        <x:f>IF(COUNTA($A21:$D21)=0,"",IF($H21&lt;&gt;"",$H21,0)*IF($J21&lt;&gt;"",$J21,1))</x:f>
      </x:c>
      <x:c r="O21" t="str">
        <x:f>IF(COUNTA($A21:$D21)=0,"",SWITCH(LOWER($D21),"buy",IFERROR(LOOKUP(2,1/($B$1:B20=B21),$O$1:O20),0)+$E21,"drip",IFERROR(LOOKUP(2,1/($B$1:B20=B21),$O$1:O20),0)+$E21,"sell",IFERROR(LOOKUP(2,1/($B$1:B20=B21),$O$1:O20),0)-$E21,"return_of_capital",IFERROR(LOOKUP(2,1/($B$1:B20=B21),$O$1:O20),0),"split",$E21,IFERROR(LOOKUP(2,1/($B$1:B20=B21),$O$1:O20),0)))</x:f>
      </x:c>
      <x:c r="P21" t="str">
        <x:f>IF(COUNTA($A21:$D21)=0,"",SWITCH(LOWER($D21),"buy",IFERROR(LOOKUP(2,1/($B$1:B20=B21),$P$1:P20),0)+$M21+$N21,"drip",IFERROR(LOOKUP(2,1/($B$1:B20=B21),$P$1:P20),0)+$M21+$N21,"sell",IFERROR(LOOKUP(2,1/($B$1:B20=B21),$P$1:P20),0)-IFERROR(IFERROR(LOOKUP(2,1/($B$1:B20=B21),$P$1:P20),0)/IFERROR(LOOKUP(2,1/($B$1:B20=B21),$O$1:O20),0)*$E21,0),"return_of_capital",IFERROR(LOOKUP(2,1/($B$1:B20=B21),$P$1:P20),0)-ABS($M21),"split",IFERROR(LOOKUP(2,1/($B$1:B20=B21),$P$1:P20),0),IFERROR(LOOKUP(2,1/($B$1:B20=B21),$P$1:P20),0)))</x:f>
      </x:c>
      <x:c r="Q21" t="str">
        <x:f>IFERROR($P21/$O21,"")</x:f>
      </x:c>
      <x:c r="R21" t="str">
        <x:f>IF(LOWER($D21)="sell",$M21-$N21-IFERROR(IFERROR(LOOKUP(2,1/($B$1:B20=B21),$P$1:P20),0)/IFERROR(LOOKUP(2,1/($B$1:B20=B21),$O$1:O20),0)*$E21,0),"")</x:f>
      </x:c>
      <x:c r="S21" t="str">
        <x:f>IF(COUNTA($A21:$D21)=0,"",IF($B21="","Missing symbol",IF($D21="","Missing action",IF(AND(LOWER($D21)="sell",$E21&gt;IFERROR(LOOKUP(2,1/($B$1:B20=B21),$O$1:O20),0)),"Sold more units than available","OK"))))</x:f>
      </x:c>
    </x:row>
    <x:row r="22">
      <x:c r="M22" t="str">
        <x:f>IF(COUNTA($A22:$D22)=0,"",IF($G22&lt;&gt;"",$G22,IF(AND($E22&lt;&gt;"",$F22&lt;&gt;""),$E22*$F22,""))*IF($J22&lt;&gt;"",$J22,1))</x:f>
      </x:c>
      <x:c r="N22" t="str">
        <x:f>IF(COUNTA($A22:$D22)=0,"",IF($H22&lt;&gt;"",$H22,0)*IF($J22&lt;&gt;"",$J22,1))</x:f>
      </x:c>
      <x:c r="O22" t="str">
        <x:f>IF(COUNTA($A22:$D22)=0,"",SWITCH(LOWER($D22),"buy",IFERROR(LOOKUP(2,1/($B$1:B21=B22),$O$1:O21),0)+$E22,"drip",IFERROR(LOOKUP(2,1/($B$1:B21=B22),$O$1:O21),0)+$E22,"sell",IFERROR(LOOKUP(2,1/($B$1:B21=B22),$O$1:O21),0)-$E22,"return_of_capital",IFERROR(LOOKUP(2,1/($B$1:B21=B22),$O$1:O21),0),"split",$E22,IFERROR(LOOKUP(2,1/($B$1:B21=B22),$O$1:O21),0)))</x:f>
      </x:c>
      <x:c r="P22" t="str">
        <x:f>IF(COUNTA($A22:$D22)=0,"",SWITCH(LOWER($D22),"buy",IFERROR(LOOKUP(2,1/($B$1:B21=B22),$P$1:P21),0)+$M22+$N22,"drip",IFERROR(LOOKUP(2,1/($B$1:B21=B22),$P$1:P21),0)+$M22+$N22,"sell",IFERROR(LOOKUP(2,1/($B$1:B21=B22),$P$1:P21),0)-IFERROR(IFERROR(LOOKUP(2,1/($B$1:B21=B22),$P$1:P21),0)/IFERROR(LOOKUP(2,1/($B$1:B21=B22),$O$1:O21),0)*$E22,0),"return_of_capital",IFERROR(LOOKUP(2,1/($B$1:B21=B22),$P$1:P21),0)-ABS($M22),"split",IFERROR(LOOKUP(2,1/($B$1:B21=B22),$P$1:P21),0),IFERROR(LOOKUP(2,1/($B$1:B21=B22),$P$1:P21),0)))</x:f>
      </x:c>
      <x:c r="Q22" t="str">
        <x:f>IFERROR($P22/$O22,"")</x:f>
      </x:c>
      <x:c r="R22" t="str">
        <x:f>IF(LOWER($D22)="sell",$M22-$N22-IFERROR(IFERROR(LOOKUP(2,1/($B$1:B21=B22),$P$1:P21),0)/IFERROR(LOOKUP(2,1/($B$1:B21=B22),$O$1:O21),0)*$E22,0),"")</x:f>
      </x:c>
      <x:c r="S22" t="str">
        <x:f>IF(COUNTA($A22:$D22)=0,"",IF($B22="","Missing symbol",IF($D22="","Missing action",IF(AND(LOWER($D22)="sell",$E22&gt;IFERROR(LOOKUP(2,1/($B$1:B21=B22),$O$1:O21),0)),"Sold more units than available","OK"))))</x:f>
      </x:c>
    </x:row>
    <x:row r="23">
      <x:c r="M23" t="str">
        <x:f>IF(COUNTA($A23:$D23)=0,"",IF($G23&lt;&gt;"",$G23,IF(AND($E23&lt;&gt;"",$F23&lt;&gt;""),$E23*$F23,""))*IF($J23&lt;&gt;"",$J23,1))</x:f>
      </x:c>
      <x:c r="N23" t="str">
        <x:f>IF(COUNTA($A23:$D23)=0,"",IF($H23&lt;&gt;"",$H23,0)*IF($J23&lt;&gt;"",$J23,1))</x:f>
      </x:c>
      <x:c r="O23" t="str">
        <x:f>IF(COUNTA($A23:$D23)=0,"",SWITCH(LOWER($D23),"buy",IFERROR(LOOKUP(2,1/($B$1:B22=B23),$O$1:O22),0)+$E23,"drip",IFERROR(LOOKUP(2,1/($B$1:B22=B23),$O$1:O22),0)+$E23,"sell",IFERROR(LOOKUP(2,1/($B$1:B22=B23),$O$1:O22),0)-$E23,"return_of_capital",IFERROR(LOOKUP(2,1/($B$1:B22=B23),$O$1:O22),0),"split",$E23,IFERROR(LOOKUP(2,1/($B$1:B22=B23),$O$1:O22),0)))</x:f>
      </x:c>
      <x:c r="P23" t="str">
        <x:f>IF(COUNTA($A23:$D23)=0,"",SWITCH(LOWER($D23),"buy",IFERROR(LOOKUP(2,1/($B$1:B22=B23),$P$1:P22),0)+$M23+$N23,"drip",IFERROR(LOOKUP(2,1/($B$1:B22=B23),$P$1:P22),0)+$M23+$N23,"sell",IFERROR(LOOKUP(2,1/($B$1:B22=B23),$P$1:P22),0)-IFERROR(IFERROR(LOOKUP(2,1/($B$1:B22=B23),$P$1:P22),0)/IFERROR(LOOKUP(2,1/($B$1:B22=B23),$O$1:O22),0)*$E23,0),"return_of_capital",IFERROR(LOOKUP(2,1/($B$1:B22=B23),$P$1:P22),0)-ABS($M23),"split",IFERROR(LOOKUP(2,1/($B$1:B22=B23),$P$1:P22),0),IFERROR(LOOKUP(2,1/($B$1:B22=B23),$P$1:P22),0)))</x:f>
      </x:c>
      <x:c r="Q23" t="str">
        <x:f>IFERROR($P23/$O23,"")</x:f>
      </x:c>
      <x:c r="R23" t="str">
        <x:f>IF(LOWER($D23)="sell",$M23-$N23-IFERROR(IFERROR(LOOKUP(2,1/($B$1:B22=B23),$P$1:P22),0)/IFERROR(LOOKUP(2,1/($B$1:B22=B23),$O$1:O22),0)*$E23,0),"")</x:f>
      </x:c>
      <x:c r="S23" t="str">
        <x:f>IF(COUNTA($A23:$D23)=0,"",IF($B23="","Missing symbol",IF($D23="","Missing action",IF(AND(LOWER($D23)="sell",$E23&gt;IFERROR(LOOKUP(2,1/($B$1:B22=B23),$O$1:O22),0)),"Sold more units than available","OK"))))</x:f>
      </x:c>
    </x:row>
    <x:row r="24">
      <x:c r="M24" t="str">
        <x:f>IF(COUNTA($A24:$D24)=0,"",IF($G24&lt;&gt;"",$G24,IF(AND($E24&lt;&gt;"",$F24&lt;&gt;""),$E24*$F24,""))*IF($J24&lt;&gt;"",$J24,1))</x:f>
      </x:c>
      <x:c r="N24" t="str">
        <x:f>IF(COUNTA($A24:$D24)=0,"",IF($H24&lt;&gt;"",$H24,0)*IF($J24&lt;&gt;"",$J24,1))</x:f>
      </x:c>
      <x:c r="O24" t="str">
        <x:f>IF(COUNTA($A24:$D24)=0,"",SWITCH(LOWER($D24),"buy",IFERROR(LOOKUP(2,1/($B$1:B23=B24),$O$1:O23),0)+$E24,"drip",IFERROR(LOOKUP(2,1/($B$1:B23=B24),$O$1:O23),0)+$E24,"sell",IFERROR(LOOKUP(2,1/($B$1:B23=B24),$O$1:O23),0)-$E24,"return_of_capital",IFERROR(LOOKUP(2,1/($B$1:B23=B24),$O$1:O23),0),"split",$E24,IFERROR(LOOKUP(2,1/($B$1:B23=B24),$O$1:O23),0)))</x:f>
      </x:c>
      <x:c r="P24" t="str">
        <x:f>IF(COUNTA($A24:$D24)=0,"",SWITCH(LOWER($D24),"buy",IFERROR(LOOKUP(2,1/($B$1:B23=B24),$P$1:P23),0)+$M24+$N24,"drip",IFERROR(LOOKUP(2,1/($B$1:B23=B24),$P$1:P23),0)+$M24+$N24,"sell",IFERROR(LOOKUP(2,1/($B$1:B23=B24),$P$1:P23),0)-IFERROR(IFERROR(LOOKUP(2,1/($B$1:B23=B24),$P$1:P23),0)/IFERROR(LOOKUP(2,1/($B$1:B23=B24),$O$1:O23),0)*$E24,0),"return_of_capital",IFERROR(LOOKUP(2,1/($B$1:B23=B24),$P$1:P23),0)-ABS($M24),"split",IFERROR(LOOKUP(2,1/($B$1:B23=B24),$P$1:P23),0),IFERROR(LOOKUP(2,1/($B$1:B23=B24),$P$1:P23),0)))</x:f>
      </x:c>
      <x:c r="Q24" t="str">
        <x:f>IFERROR($P24/$O24,"")</x:f>
      </x:c>
      <x:c r="R24" t="str">
        <x:f>IF(LOWER($D24)="sell",$M24-$N24-IFERROR(IFERROR(LOOKUP(2,1/($B$1:B23=B24),$P$1:P23),0)/IFERROR(LOOKUP(2,1/($B$1:B23=B24),$O$1:O23),0)*$E24,0),"")</x:f>
      </x:c>
      <x:c r="S24" t="str">
        <x:f>IF(COUNTA($A24:$D24)=0,"",IF($B24="","Missing symbol",IF($D24="","Missing action",IF(AND(LOWER($D24)="sell",$E24&gt;IFERROR(LOOKUP(2,1/($B$1:B23=B24),$O$1:O23),0)),"Sold more units than available","OK"))))</x:f>
      </x:c>
    </x:row>
    <x:row r="25">
      <x:c r="M25" t="str">
        <x:f>IF(COUNTA($A25:$D25)=0,"",IF($G25&lt;&gt;"",$G25,IF(AND($E25&lt;&gt;"",$F25&lt;&gt;""),$E25*$F25,""))*IF($J25&lt;&gt;"",$J25,1))</x:f>
      </x:c>
      <x:c r="N25" t="str">
        <x:f>IF(COUNTA($A25:$D25)=0,"",IF($H25&lt;&gt;"",$H25,0)*IF($J25&lt;&gt;"",$J25,1))</x:f>
      </x:c>
      <x:c r="O25" t="str">
        <x:f>IF(COUNTA($A25:$D25)=0,"",SWITCH(LOWER($D25),"buy",IFERROR(LOOKUP(2,1/($B$1:B24=B25),$O$1:O24),0)+$E25,"drip",IFERROR(LOOKUP(2,1/($B$1:B24=B25),$O$1:O24),0)+$E25,"sell",IFERROR(LOOKUP(2,1/($B$1:B24=B25),$O$1:O24),0)-$E25,"return_of_capital",IFERROR(LOOKUP(2,1/($B$1:B24=B25),$O$1:O24),0),"split",$E25,IFERROR(LOOKUP(2,1/($B$1:B24=B25),$O$1:O24),0)))</x:f>
      </x:c>
      <x:c r="P25" t="str">
        <x:f>IF(COUNTA($A25:$D25)=0,"",SWITCH(LOWER($D25),"buy",IFERROR(LOOKUP(2,1/($B$1:B24=B25),$P$1:P24),0)+$M25+$N25,"drip",IFERROR(LOOKUP(2,1/($B$1:B24=B25),$P$1:P24),0)+$M25+$N25,"sell",IFERROR(LOOKUP(2,1/($B$1:B24=B25),$P$1:P24),0)-IFERROR(IFERROR(LOOKUP(2,1/($B$1:B24=B25),$P$1:P24),0)/IFERROR(LOOKUP(2,1/($B$1:B24=B25),$O$1:O24),0)*$E25,0),"return_of_capital",IFERROR(LOOKUP(2,1/($B$1:B24=B25),$P$1:P24),0)-ABS($M25),"split",IFERROR(LOOKUP(2,1/($B$1:B24=B25),$P$1:P24),0),IFERROR(LOOKUP(2,1/($B$1:B24=B25),$P$1:P24),0)))</x:f>
      </x:c>
      <x:c r="Q25" t="str">
        <x:f>IFERROR($P25/$O25,"")</x:f>
      </x:c>
      <x:c r="R25" t="str">
        <x:f>IF(LOWER($D25)="sell",$M25-$N25-IFERROR(IFERROR(LOOKUP(2,1/($B$1:B24=B25),$P$1:P24),0)/IFERROR(LOOKUP(2,1/($B$1:B24=B25),$O$1:O24),0)*$E25,0),"")</x:f>
      </x:c>
      <x:c r="S25" t="str">
        <x:f>IF(COUNTA($A25:$D25)=0,"",IF($B25="","Missing symbol",IF($D25="","Missing action",IF(AND(LOWER($D25)="sell",$E25&gt;IFERROR(LOOKUP(2,1/($B$1:B24=B25),$O$1:O24),0)),"Sold more units than available","OK"))))</x:f>
      </x:c>
    </x:row>
    <x:row r="26">
      <x:c r="M26" t="str">
        <x:f>IF(COUNTA($A26:$D26)=0,"",IF($G26&lt;&gt;"",$G26,IF(AND($E26&lt;&gt;"",$F26&lt;&gt;""),$E26*$F26,""))*IF($J26&lt;&gt;"",$J26,1))</x:f>
      </x:c>
      <x:c r="N26" t="str">
        <x:f>IF(COUNTA($A26:$D26)=0,"",IF($H26&lt;&gt;"",$H26,0)*IF($J26&lt;&gt;"",$J26,1))</x:f>
      </x:c>
      <x:c r="O26" t="str">
        <x:f>IF(COUNTA($A26:$D26)=0,"",SWITCH(LOWER($D26),"buy",IFERROR(LOOKUP(2,1/($B$1:B25=B26),$O$1:O25),0)+$E26,"drip",IFERROR(LOOKUP(2,1/($B$1:B25=B26),$O$1:O25),0)+$E26,"sell",IFERROR(LOOKUP(2,1/($B$1:B25=B26),$O$1:O25),0)-$E26,"return_of_capital",IFERROR(LOOKUP(2,1/($B$1:B25=B26),$O$1:O25),0),"split",$E26,IFERROR(LOOKUP(2,1/($B$1:B25=B26),$O$1:O25),0)))</x:f>
      </x:c>
      <x:c r="P26" t="str">
        <x:f>IF(COUNTA($A26:$D26)=0,"",SWITCH(LOWER($D26),"buy",IFERROR(LOOKUP(2,1/($B$1:B25=B26),$P$1:P25),0)+$M26+$N26,"drip",IFERROR(LOOKUP(2,1/($B$1:B25=B26),$P$1:P25),0)+$M26+$N26,"sell",IFERROR(LOOKUP(2,1/($B$1:B25=B26),$P$1:P25),0)-IFERROR(IFERROR(LOOKUP(2,1/($B$1:B25=B26),$P$1:P25),0)/IFERROR(LOOKUP(2,1/($B$1:B25=B26),$O$1:O25),0)*$E26,0),"return_of_capital",IFERROR(LOOKUP(2,1/($B$1:B25=B26),$P$1:P25),0)-ABS($M26),"split",IFERROR(LOOKUP(2,1/($B$1:B25=B26),$P$1:P25),0),IFERROR(LOOKUP(2,1/($B$1:B25=B26),$P$1:P25),0)))</x:f>
      </x:c>
      <x:c r="Q26" t="str">
        <x:f>IFERROR($P26/$O26,"")</x:f>
      </x:c>
      <x:c r="R26" t="str">
        <x:f>IF(LOWER($D26)="sell",$M26-$N26-IFERROR(IFERROR(LOOKUP(2,1/($B$1:B25=B26),$P$1:P25),0)/IFERROR(LOOKUP(2,1/($B$1:B25=B26),$O$1:O25),0)*$E26,0),"")</x:f>
      </x:c>
      <x:c r="S26" t="str">
        <x:f>IF(COUNTA($A26:$D26)=0,"",IF($B26="","Missing symbol",IF($D26="","Missing action",IF(AND(LOWER($D26)="sell",$E26&gt;IFERROR(LOOKUP(2,1/($B$1:B25=B26),$O$1:O25),0)),"Sold more units than available","OK"))))</x:f>
      </x:c>
    </x:row>
    <x:row r="27">
      <x:c r="M27" t="str">
        <x:f>IF(COUNTA($A27:$D27)=0,"",IF($G27&lt;&gt;"",$G27,IF(AND($E27&lt;&gt;"",$F27&lt;&gt;""),$E27*$F27,""))*IF($J27&lt;&gt;"",$J27,1))</x:f>
      </x:c>
      <x:c r="N27" t="str">
        <x:f>IF(COUNTA($A27:$D27)=0,"",IF($H27&lt;&gt;"",$H27,0)*IF($J27&lt;&gt;"",$J27,1))</x:f>
      </x:c>
      <x:c r="O27" t="str">
        <x:f>IF(COUNTA($A27:$D27)=0,"",SWITCH(LOWER($D27),"buy",IFERROR(LOOKUP(2,1/($B$1:B26=B27),$O$1:O26),0)+$E27,"drip",IFERROR(LOOKUP(2,1/($B$1:B26=B27),$O$1:O26),0)+$E27,"sell",IFERROR(LOOKUP(2,1/($B$1:B26=B27),$O$1:O26),0)-$E27,"return_of_capital",IFERROR(LOOKUP(2,1/($B$1:B26=B27),$O$1:O26),0),"split",$E27,IFERROR(LOOKUP(2,1/($B$1:B26=B27),$O$1:O26),0)))</x:f>
      </x:c>
      <x:c r="P27" t="str">
        <x:f>IF(COUNTA($A27:$D27)=0,"",SWITCH(LOWER($D27),"buy",IFERROR(LOOKUP(2,1/($B$1:B26=B27),$P$1:P26),0)+$M27+$N27,"drip",IFERROR(LOOKUP(2,1/($B$1:B26=B27),$P$1:P26),0)+$M27+$N27,"sell",IFERROR(LOOKUP(2,1/($B$1:B26=B27),$P$1:P26),0)-IFERROR(IFERROR(LOOKUP(2,1/($B$1:B26=B27),$P$1:P26),0)/IFERROR(LOOKUP(2,1/($B$1:B26=B27),$O$1:O26),0)*$E27,0),"return_of_capital",IFERROR(LOOKUP(2,1/($B$1:B26=B27),$P$1:P26),0)-ABS($M27),"split",IFERROR(LOOKUP(2,1/($B$1:B26=B27),$P$1:P26),0),IFERROR(LOOKUP(2,1/($B$1:B26=B27),$P$1:P26),0)))</x:f>
      </x:c>
      <x:c r="Q27" t="str">
        <x:f>IFERROR($P27/$O27,"")</x:f>
      </x:c>
      <x:c r="R27" t="str">
        <x:f>IF(LOWER($D27)="sell",$M27-$N27-IFERROR(IFERROR(LOOKUP(2,1/($B$1:B26=B27),$P$1:P26),0)/IFERROR(LOOKUP(2,1/($B$1:B26=B27),$O$1:O26),0)*$E27,0),"")</x:f>
      </x:c>
      <x:c r="S27" t="str">
        <x:f>IF(COUNTA($A27:$D27)=0,"",IF($B27="","Missing symbol",IF($D27="","Missing action",IF(AND(LOWER($D27)="sell",$E27&gt;IFERROR(LOOKUP(2,1/($B$1:B26=B27),$O$1:O26),0)),"Sold more units than available","OK"))))</x:f>
      </x:c>
    </x:row>
    <x:row r="28">
      <x:c r="M28" t="str">
        <x:f>IF(COUNTA($A28:$D28)=0,"",IF($G28&lt;&gt;"",$G28,IF(AND($E28&lt;&gt;"",$F28&lt;&gt;""),$E28*$F28,""))*IF($J28&lt;&gt;"",$J28,1))</x:f>
      </x:c>
      <x:c r="N28" t="str">
        <x:f>IF(COUNTA($A28:$D28)=0,"",IF($H28&lt;&gt;"",$H28,0)*IF($J28&lt;&gt;"",$J28,1))</x:f>
      </x:c>
      <x:c r="O28" t="str">
        <x:f>IF(COUNTA($A28:$D28)=0,"",SWITCH(LOWER($D28),"buy",IFERROR(LOOKUP(2,1/($B$1:B27=B28),$O$1:O27),0)+$E28,"drip",IFERROR(LOOKUP(2,1/($B$1:B27=B28),$O$1:O27),0)+$E28,"sell",IFERROR(LOOKUP(2,1/($B$1:B27=B28),$O$1:O27),0)-$E28,"return_of_capital",IFERROR(LOOKUP(2,1/($B$1:B27=B28),$O$1:O27),0),"split",$E28,IFERROR(LOOKUP(2,1/($B$1:B27=B28),$O$1:O27),0)))</x:f>
      </x:c>
      <x:c r="P28" t="str">
        <x:f>IF(COUNTA($A28:$D28)=0,"",SWITCH(LOWER($D28),"buy",IFERROR(LOOKUP(2,1/($B$1:B27=B28),$P$1:P27),0)+$M28+$N28,"drip",IFERROR(LOOKUP(2,1/($B$1:B27=B28),$P$1:P27),0)+$M28+$N28,"sell",IFERROR(LOOKUP(2,1/($B$1:B27=B28),$P$1:P27),0)-IFERROR(IFERROR(LOOKUP(2,1/($B$1:B27=B28),$P$1:P27),0)/IFERROR(LOOKUP(2,1/($B$1:B27=B28),$O$1:O27),0)*$E28,0),"return_of_capital",IFERROR(LOOKUP(2,1/($B$1:B27=B28),$P$1:P27),0)-ABS($M28),"split",IFERROR(LOOKUP(2,1/($B$1:B27=B28),$P$1:P27),0),IFERROR(LOOKUP(2,1/($B$1:B27=B28),$P$1:P27),0)))</x:f>
      </x:c>
      <x:c r="Q28" t="str">
        <x:f>IFERROR($P28/$O28,"")</x:f>
      </x:c>
      <x:c r="R28" t="str">
        <x:f>IF(LOWER($D28)="sell",$M28-$N28-IFERROR(IFERROR(LOOKUP(2,1/($B$1:B27=B28),$P$1:P27),0)/IFERROR(LOOKUP(2,1/($B$1:B27=B28),$O$1:O27),0)*$E28,0),"")</x:f>
      </x:c>
      <x:c r="S28" t="str">
        <x:f>IF(COUNTA($A28:$D28)=0,"",IF($B28="","Missing symbol",IF($D28="","Missing action",IF(AND(LOWER($D28)="sell",$E28&gt;IFERROR(LOOKUP(2,1/($B$1:B27=B28),$O$1:O27),0)),"Sold more units than available","OK"))))</x:f>
      </x:c>
    </x:row>
    <x:row r="29">
      <x:c r="M29" t="str">
        <x:f>IF(COUNTA($A29:$D29)=0,"",IF($G29&lt;&gt;"",$G29,IF(AND($E29&lt;&gt;"",$F29&lt;&gt;""),$E29*$F29,""))*IF($J29&lt;&gt;"",$J29,1))</x:f>
      </x:c>
      <x:c r="N29" t="str">
        <x:f>IF(COUNTA($A29:$D29)=0,"",IF($H29&lt;&gt;"",$H29,0)*IF($J29&lt;&gt;"",$J29,1))</x:f>
      </x:c>
      <x:c r="O29" t="str">
        <x:f>IF(COUNTA($A29:$D29)=0,"",SWITCH(LOWER($D29),"buy",IFERROR(LOOKUP(2,1/($B$1:B28=B29),$O$1:O28),0)+$E29,"drip",IFERROR(LOOKUP(2,1/($B$1:B28=B29),$O$1:O28),0)+$E29,"sell",IFERROR(LOOKUP(2,1/($B$1:B28=B29),$O$1:O28),0)-$E29,"return_of_capital",IFERROR(LOOKUP(2,1/($B$1:B28=B29),$O$1:O28),0),"split",$E29,IFERROR(LOOKUP(2,1/($B$1:B28=B29),$O$1:O28),0)))</x:f>
      </x:c>
      <x:c r="P29" t="str">
        <x:f>IF(COUNTA($A29:$D29)=0,"",SWITCH(LOWER($D29),"buy",IFERROR(LOOKUP(2,1/($B$1:B28=B29),$P$1:P28),0)+$M29+$N29,"drip",IFERROR(LOOKUP(2,1/($B$1:B28=B29),$P$1:P28),0)+$M29+$N29,"sell",IFERROR(LOOKUP(2,1/($B$1:B28=B29),$P$1:P28),0)-IFERROR(IFERROR(LOOKUP(2,1/($B$1:B28=B29),$P$1:P28),0)/IFERROR(LOOKUP(2,1/($B$1:B28=B29),$O$1:O28),0)*$E29,0),"return_of_capital",IFERROR(LOOKUP(2,1/($B$1:B28=B29),$P$1:P28),0)-ABS($M29),"split",IFERROR(LOOKUP(2,1/($B$1:B28=B29),$P$1:P28),0),IFERROR(LOOKUP(2,1/($B$1:B28=B29),$P$1:P28),0)))</x:f>
      </x:c>
      <x:c r="Q29" t="str">
        <x:f>IFERROR($P29/$O29,"")</x:f>
      </x:c>
      <x:c r="R29" t="str">
        <x:f>IF(LOWER($D29)="sell",$M29-$N29-IFERROR(IFERROR(LOOKUP(2,1/($B$1:B28=B29),$P$1:P28),0)/IFERROR(LOOKUP(2,1/($B$1:B28=B29),$O$1:O28),0)*$E29,0),"")</x:f>
      </x:c>
      <x:c r="S29" t="str">
        <x:f>IF(COUNTA($A29:$D29)=0,"",IF($B29="","Missing symbol",IF($D29="","Missing action",IF(AND(LOWER($D29)="sell",$E29&gt;IFERROR(LOOKUP(2,1/($B$1:B28=B29),$O$1:O28),0)),"Sold more units than available","OK"))))</x:f>
      </x:c>
    </x:row>
    <x:row r="30">
      <x:c r="M30" t="str">
        <x:f>IF(COUNTA($A30:$D30)=0,"",IF($G30&lt;&gt;"",$G30,IF(AND($E30&lt;&gt;"",$F30&lt;&gt;""),$E30*$F30,""))*IF($J30&lt;&gt;"",$J30,1))</x:f>
      </x:c>
      <x:c r="N30" t="str">
        <x:f>IF(COUNTA($A30:$D30)=0,"",IF($H30&lt;&gt;"",$H30,0)*IF($J30&lt;&gt;"",$J30,1))</x:f>
      </x:c>
      <x:c r="O30" t="str">
        <x:f>IF(COUNTA($A30:$D30)=0,"",SWITCH(LOWER($D30),"buy",IFERROR(LOOKUP(2,1/($B$1:B29=B30),$O$1:O29),0)+$E30,"drip",IFERROR(LOOKUP(2,1/($B$1:B29=B30),$O$1:O29),0)+$E30,"sell",IFERROR(LOOKUP(2,1/($B$1:B29=B30),$O$1:O29),0)-$E30,"return_of_capital",IFERROR(LOOKUP(2,1/($B$1:B29=B30),$O$1:O29),0),"split",$E30,IFERROR(LOOKUP(2,1/($B$1:B29=B30),$O$1:O29),0)))</x:f>
      </x:c>
      <x:c r="P30" t="str">
        <x:f>IF(COUNTA($A30:$D30)=0,"",SWITCH(LOWER($D30),"buy",IFERROR(LOOKUP(2,1/($B$1:B29=B30),$P$1:P29),0)+$M30+$N30,"drip",IFERROR(LOOKUP(2,1/($B$1:B29=B30),$P$1:P29),0)+$M30+$N30,"sell",IFERROR(LOOKUP(2,1/($B$1:B29=B30),$P$1:P29),0)-IFERROR(IFERROR(LOOKUP(2,1/($B$1:B29=B30),$P$1:P29),0)/IFERROR(LOOKUP(2,1/($B$1:B29=B30),$O$1:O29),0)*$E30,0),"return_of_capital",IFERROR(LOOKUP(2,1/($B$1:B29=B30),$P$1:P29),0)-ABS($M30),"split",IFERROR(LOOKUP(2,1/($B$1:B29=B30),$P$1:P29),0),IFERROR(LOOKUP(2,1/($B$1:B29=B30),$P$1:P29),0)))</x:f>
      </x:c>
      <x:c r="Q30" t="str">
        <x:f>IFERROR($P30/$O30,"")</x:f>
      </x:c>
      <x:c r="R30" t="str">
        <x:f>IF(LOWER($D30)="sell",$M30-$N30-IFERROR(IFERROR(LOOKUP(2,1/($B$1:B29=B30),$P$1:P29),0)/IFERROR(LOOKUP(2,1/($B$1:B29=B30),$O$1:O29),0)*$E30,0),"")</x:f>
      </x:c>
      <x:c r="S30" t="str">
        <x:f>IF(COUNTA($A30:$D30)=0,"",IF($B30="","Missing symbol",IF($D30="","Missing action",IF(AND(LOWER($D30)="sell",$E30&gt;IFERROR(LOOKUP(2,1/($B$1:B29=B30),$O$1:O29),0)),"Sold more units than available","OK"))))</x:f>
      </x:c>
    </x:row>
    <x:row r="31">
      <x:c r="M31" t="str">
        <x:f>IF(COUNTA($A31:$D31)=0,"",IF($G31&lt;&gt;"",$G31,IF(AND($E31&lt;&gt;"",$F31&lt;&gt;""),$E31*$F31,""))*IF($J31&lt;&gt;"",$J31,1))</x:f>
      </x:c>
      <x:c r="N31" t="str">
        <x:f>IF(COUNTA($A31:$D31)=0,"",IF($H31&lt;&gt;"",$H31,0)*IF($J31&lt;&gt;"",$J31,1))</x:f>
      </x:c>
      <x:c r="O31" t="str">
        <x:f>IF(COUNTA($A31:$D31)=0,"",SWITCH(LOWER($D31),"buy",IFERROR(LOOKUP(2,1/($B$1:B30=B31),$O$1:O30),0)+$E31,"drip",IFERROR(LOOKUP(2,1/($B$1:B30=B31),$O$1:O30),0)+$E31,"sell",IFERROR(LOOKUP(2,1/($B$1:B30=B31),$O$1:O30),0)-$E31,"return_of_capital",IFERROR(LOOKUP(2,1/($B$1:B30=B31),$O$1:O30),0),"split",$E31,IFERROR(LOOKUP(2,1/($B$1:B30=B31),$O$1:O30),0)))</x:f>
      </x:c>
      <x:c r="P31" t="str">
        <x:f>IF(COUNTA($A31:$D31)=0,"",SWITCH(LOWER($D31),"buy",IFERROR(LOOKUP(2,1/($B$1:B30=B31),$P$1:P30),0)+$M31+$N31,"drip",IFERROR(LOOKUP(2,1/($B$1:B30=B31),$P$1:P30),0)+$M31+$N31,"sell",IFERROR(LOOKUP(2,1/($B$1:B30=B31),$P$1:P30),0)-IFERROR(IFERROR(LOOKUP(2,1/($B$1:B30=B31),$P$1:P30),0)/IFERROR(LOOKUP(2,1/($B$1:B30=B31),$O$1:O30),0)*$E31,0),"return_of_capital",IFERROR(LOOKUP(2,1/($B$1:B30=B31),$P$1:P30),0)-ABS($M31),"split",IFERROR(LOOKUP(2,1/($B$1:B30=B31),$P$1:P30),0),IFERROR(LOOKUP(2,1/($B$1:B30=B31),$P$1:P30),0)))</x:f>
      </x:c>
      <x:c r="Q31" t="str">
        <x:f>IFERROR($P31/$O31,"")</x:f>
      </x:c>
      <x:c r="R31" t="str">
        <x:f>IF(LOWER($D31)="sell",$M31-$N31-IFERROR(IFERROR(LOOKUP(2,1/($B$1:B30=B31),$P$1:P30),0)/IFERROR(LOOKUP(2,1/($B$1:B30=B31),$O$1:O30),0)*$E31,0),"")</x:f>
      </x:c>
      <x:c r="S31" t="str">
        <x:f>IF(COUNTA($A31:$D31)=0,"",IF($B31="","Missing symbol",IF($D31="","Missing action",IF(AND(LOWER($D31)="sell",$E31&gt;IFERROR(LOOKUP(2,1/($B$1:B30=B31),$O$1:O30),0)),"Sold more units than available","OK"))))</x:f>
      </x:c>
    </x:row>
    <x:row r="32">
      <x:c r="M32" t="str">
        <x:f>IF(COUNTA($A32:$D32)=0,"",IF($G32&lt;&gt;"",$G32,IF(AND($E32&lt;&gt;"",$F32&lt;&gt;""),$E32*$F32,""))*IF($J32&lt;&gt;"",$J32,1))</x:f>
      </x:c>
      <x:c r="N32" t="str">
        <x:f>IF(COUNTA($A32:$D32)=0,"",IF($H32&lt;&gt;"",$H32,0)*IF($J32&lt;&gt;"",$J32,1))</x:f>
      </x:c>
      <x:c r="O32" t="str">
        <x:f>IF(COUNTA($A32:$D32)=0,"",SWITCH(LOWER($D32),"buy",IFERROR(LOOKUP(2,1/($B$1:B31=B32),$O$1:O31),0)+$E32,"drip",IFERROR(LOOKUP(2,1/($B$1:B31=B32),$O$1:O31),0)+$E32,"sell",IFERROR(LOOKUP(2,1/($B$1:B31=B32),$O$1:O31),0)-$E32,"return_of_capital",IFERROR(LOOKUP(2,1/($B$1:B31=B32),$O$1:O31),0),"split",$E32,IFERROR(LOOKUP(2,1/($B$1:B31=B32),$O$1:O31),0)))</x:f>
      </x:c>
      <x:c r="P32" t="str">
        <x:f>IF(COUNTA($A32:$D32)=0,"",SWITCH(LOWER($D32),"buy",IFERROR(LOOKUP(2,1/($B$1:B31=B32),$P$1:P31),0)+$M32+$N32,"drip",IFERROR(LOOKUP(2,1/($B$1:B31=B32),$P$1:P31),0)+$M32+$N32,"sell",IFERROR(LOOKUP(2,1/($B$1:B31=B32),$P$1:P31),0)-IFERROR(IFERROR(LOOKUP(2,1/($B$1:B31=B32),$P$1:P31),0)/IFERROR(LOOKUP(2,1/($B$1:B31=B32),$O$1:O31),0)*$E32,0),"return_of_capital",IFERROR(LOOKUP(2,1/($B$1:B31=B32),$P$1:P31),0)-ABS($M32),"split",IFERROR(LOOKUP(2,1/($B$1:B31=B32),$P$1:P31),0),IFERROR(LOOKUP(2,1/($B$1:B31=B32),$P$1:P31),0)))</x:f>
      </x:c>
      <x:c r="Q32" t="str">
        <x:f>IFERROR($P32/$O32,"")</x:f>
      </x:c>
      <x:c r="R32" t="str">
        <x:f>IF(LOWER($D32)="sell",$M32-$N32-IFERROR(IFERROR(LOOKUP(2,1/($B$1:B31=B32),$P$1:P31),0)/IFERROR(LOOKUP(2,1/($B$1:B31=B32),$O$1:O31),0)*$E32,0),"")</x:f>
      </x:c>
      <x:c r="S32" t="str">
        <x:f>IF(COUNTA($A32:$D32)=0,"",IF($B32="","Missing symbol",IF($D32="","Missing action",IF(AND(LOWER($D32)="sell",$E32&gt;IFERROR(LOOKUP(2,1/($B$1:B31=B32),$O$1:O31),0)),"Sold more units than available","OK"))))</x:f>
      </x:c>
    </x:row>
    <x:row r="33">
      <x:c r="M33" t="str">
        <x:f>IF(COUNTA($A33:$D33)=0,"",IF($G33&lt;&gt;"",$G33,IF(AND($E33&lt;&gt;"",$F33&lt;&gt;""),$E33*$F33,""))*IF($J33&lt;&gt;"",$J33,1))</x:f>
      </x:c>
      <x:c r="N33" t="str">
        <x:f>IF(COUNTA($A33:$D33)=0,"",IF($H33&lt;&gt;"",$H33,0)*IF($J33&lt;&gt;"",$J33,1))</x:f>
      </x:c>
      <x:c r="O33" t="str">
        <x:f>IF(COUNTA($A33:$D33)=0,"",SWITCH(LOWER($D33),"buy",IFERROR(LOOKUP(2,1/($B$1:B32=B33),$O$1:O32),0)+$E33,"drip",IFERROR(LOOKUP(2,1/($B$1:B32=B33),$O$1:O32),0)+$E33,"sell",IFERROR(LOOKUP(2,1/($B$1:B32=B33),$O$1:O32),0)-$E33,"return_of_capital",IFERROR(LOOKUP(2,1/($B$1:B32=B33),$O$1:O32),0),"split",$E33,IFERROR(LOOKUP(2,1/($B$1:B32=B33),$O$1:O32),0)))</x:f>
      </x:c>
      <x:c r="P33" t="str">
        <x:f>IF(COUNTA($A33:$D33)=0,"",SWITCH(LOWER($D33),"buy",IFERROR(LOOKUP(2,1/($B$1:B32=B33),$P$1:P32),0)+$M33+$N33,"drip",IFERROR(LOOKUP(2,1/($B$1:B32=B33),$P$1:P32),0)+$M33+$N33,"sell",IFERROR(LOOKUP(2,1/($B$1:B32=B33),$P$1:P32),0)-IFERROR(IFERROR(LOOKUP(2,1/($B$1:B32=B33),$P$1:P32),0)/IFERROR(LOOKUP(2,1/($B$1:B32=B33),$O$1:O32),0)*$E33,0),"return_of_capital",IFERROR(LOOKUP(2,1/($B$1:B32=B33),$P$1:P32),0)-ABS($M33),"split",IFERROR(LOOKUP(2,1/($B$1:B32=B33),$P$1:P32),0),IFERROR(LOOKUP(2,1/($B$1:B32=B33),$P$1:P32),0)))</x:f>
      </x:c>
      <x:c r="Q33" t="str">
        <x:f>IFERROR($P33/$O33,"")</x:f>
      </x:c>
      <x:c r="R33" t="str">
        <x:f>IF(LOWER($D33)="sell",$M33-$N33-IFERROR(IFERROR(LOOKUP(2,1/($B$1:B32=B33),$P$1:P32),0)/IFERROR(LOOKUP(2,1/($B$1:B32=B33),$O$1:O32),0)*$E33,0),"")</x:f>
      </x:c>
      <x:c r="S33" t="str">
        <x:f>IF(COUNTA($A33:$D33)=0,"",IF($B33="","Missing symbol",IF($D33="","Missing action",IF(AND(LOWER($D33)="sell",$E33&gt;IFERROR(LOOKUP(2,1/($B$1:B32=B33),$O$1:O32),0)),"Sold more units than available","OK"))))</x:f>
      </x:c>
    </x:row>
    <x:row r="34">
      <x:c r="M34" t="str">
        <x:f>IF(COUNTA($A34:$D34)=0,"",IF($G34&lt;&gt;"",$G34,IF(AND($E34&lt;&gt;"",$F34&lt;&gt;""),$E34*$F34,""))*IF($J34&lt;&gt;"",$J34,1))</x:f>
      </x:c>
      <x:c r="N34" t="str">
        <x:f>IF(COUNTA($A34:$D34)=0,"",IF($H34&lt;&gt;"",$H34,0)*IF($J34&lt;&gt;"",$J34,1))</x:f>
      </x:c>
      <x:c r="O34" t="str">
        <x:f>IF(COUNTA($A34:$D34)=0,"",SWITCH(LOWER($D34),"buy",IFERROR(LOOKUP(2,1/($B$1:B33=B34),$O$1:O33),0)+$E34,"drip",IFERROR(LOOKUP(2,1/($B$1:B33=B34),$O$1:O33),0)+$E34,"sell",IFERROR(LOOKUP(2,1/($B$1:B33=B34),$O$1:O33),0)-$E34,"return_of_capital",IFERROR(LOOKUP(2,1/($B$1:B33=B34),$O$1:O33),0),"split",$E34,IFERROR(LOOKUP(2,1/($B$1:B33=B34),$O$1:O33),0)))</x:f>
      </x:c>
      <x:c r="P34" t="str">
        <x:f>IF(COUNTA($A34:$D34)=0,"",SWITCH(LOWER($D34),"buy",IFERROR(LOOKUP(2,1/($B$1:B33=B34),$P$1:P33),0)+$M34+$N34,"drip",IFERROR(LOOKUP(2,1/($B$1:B33=B34),$P$1:P33),0)+$M34+$N34,"sell",IFERROR(LOOKUP(2,1/($B$1:B33=B34),$P$1:P33),0)-IFERROR(IFERROR(LOOKUP(2,1/($B$1:B33=B34),$P$1:P33),0)/IFERROR(LOOKUP(2,1/($B$1:B33=B34),$O$1:O33),0)*$E34,0),"return_of_capital",IFERROR(LOOKUP(2,1/($B$1:B33=B34),$P$1:P33),0)-ABS($M34),"split",IFERROR(LOOKUP(2,1/($B$1:B33=B34),$P$1:P33),0),IFERROR(LOOKUP(2,1/($B$1:B33=B34),$P$1:P33),0)))</x:f>
      </x:c>
      <x:c r="Q34" t="str">
        <x:f>IFERROR($P34/$O34,"")</x:f>
      </x:c>
      <x:c r="R34" t="str">
        <x:f>IF(LOWER($D34)="sell",$M34-$N34-IFERROR(IFERROR(LOOKUP(2,1/($B$1:B33=B34),$P$1:P33),0)/IFERROR(LOOKUP(2,1/($B$1:B33=B34),$O$1:O33),0)*$E34,0),"")</x:f>
      </x:c>
      <x:c r="S34" t="str">
        <x:f>IF(COUNTA($A34:$D34)=0,"",IF($B34="","Missing symbol",IF($D34="","Missing action",IF(AND(LOWER($D34)="sell",$E34&gt;IFERROR(LOOKUP(2,1/($B$1:B33=B34),$O$1:O33),0)),"Sold more units than available","OK"))))</x:f>
      </x:c>
    </x:row>
    <x:row r="35">
      <x:c r="M35" t="str">
        <x:f>IF(COUNTA($A35:$D35)=0,"",IF($G35&lt;&gt;"",$G35,IF(AND($E35&lt;&gt;"",$F35&lt;&gt;""),$E35*$F35,""))*IF($J35&lt;&gt;"",$J35,1))</x:f>
      </x:c>
      <x:c r="N35" t="str">
        <x:f>IF(COUNTA($A35:$D35)=0,"",IF($H35&lt;&gt;"",$H35,0)*IF($J35&lt;&gt;"",$J35,1))</x:f>
      </x:c>
      <x:c r="O35" t="str">
        <x:f>IF(COUNTA($A35:$D35)=0,"",SWITCH(LOWER($D35),"buy",IFERROR(LOOKUP(2,1/($B$1:B34=B35),$O$1:O34),0)+$E35,"drip",IFERROR(LOOKUP(2,1/($B$1:B34=B35),$O$1:O34),0)+$E35,"sell",IFERROR(LOOKUP(2,1/($B$1:B34=B35),$O$1:O34),0)-$E35,"return_of_capital",IFERROR(LOOKUP(2,1/($B$1:B34=B35),$O$1:O34),0),"split",$E35,IFERROR(LOOKUP(2,1/($B$1:B34=B35),$O$1:O34),0)))</x:f>
      </x:c>
      <x:c r="P35" t="str">
        <x:f>IF(COUNTA($A35:$D35)=0,"",SWITCH(LOWER($D35),"buy",IFERROR(LOOKUP(2,1/($B$1:B34=B35),$P$1:P34),0)+$M35+$N35,"drip",IFERROR(LOOKUP(2,1/($B$1:B34=B35),$P$1:P34),0)+$M35+$N35,"sell",IFERROR(LOOKUP(2,1/($B$1:B34=B35),$P$1:P34),0)-IFERROR(IFERROR(LOOKUP(2,1/($B$1:B34=B35),$P$1:P34),0)/IFERROR(LOOKUP(2,1/($B$1:B34=B35),$O$1:O34),0)*$E35,0),"return_of_capital",IFERROR(LOOKUP(2,1/($B$1:B34=B35),$P$1:P34),0)-ABS($M35),"split",IFERROR(LOOKUP(2,1/($B$1:B34=B35),$P$1:P34),0),IFERROR(LOOKUP(2,1/($B$1:B34=B35),$P$1:P34),0)))</x:f>
      </x:c>
      <x:c r="Q35" t="str">
        <x:f>IFERROR($P35/$O35,"")</x:f>
      </x:c>
      <x:c r="R35" t="str">
        <x:f>IF(LOWER($D35)="sell",$M35-$N35-IFERROR(IFERROR(LOOKUP(2,1/($B$1:B34=B35),$P$1:P34),0)/IFERROR(LOOKUP(2,1/($B$1:B34=B35),$O$1:O34),0)*$E35,0),"")</x:f>
      </x:c>
      <x:c r="S35" t="str">
        <x:f>IF(COUNTA($A35:$D35)=0,"",IF($B35="","Missing symbol",IF($D35="","Missing action",IF(AND(LOWER($D35)="sell",$E35&gt;IFERROR(LOOKUP(2,1/($B$1:B34=B35),$O$1:O34),0)),"Sold more units than available","OK"))))</x:f>
      </x:c>
    </x:row>
    <x:row r="36">
      <x:c r="M36" t="str">
        <x:f>IF(COUNTA($A36:$D36)=0,"",IF($G36&lt;&gt;"",$G36,IF(AND($E36&lt;&gt;"",$F36&lt;&gt;""),$E36*$F36,""))*IF($J36&lt;&gt;"",$J36,1))</x:f>
      </x:c>
      <x:c r="N36" t="str">
        <x:f>IF(COUNTA($A36:$D36)=0,"",IF($H36&lt;&gt;"",$H36,0)*IF($J36&lt;&gt;"",$J36,1))</x:f>
      </x:c>
      <x:c r="O36" t="str">
        <x:f>IF(COUNTA($A36:$D36)=0,"",SWITCH(LOWER($D36),"buy",IFERROR(LOOKUP(2,1/($B$1:B35=B36),$O$1:O35),0)+$E36,"drip",IFERROR(LOOKUP(2,1/($B$1:B35=B36),$O$1:O35),0)+$E36,"sell",IFERROR(LOOKUP(2,1/($B$1:B35=B36),$O$1:O35),0)-$E36,"return_of_capital",IFERROR(LOOKUP(2,1/($B$1:B35=B36),$O$1:O35),0),"split",$E36,IFERROR(LOOKUP(2,1/($B$1:B35=B36),$O$1:O35),0)))</x:f>
      </x:c>
      <x:c r="P36" t="str">
        <x:f>IF(COUNTA($A36:$D36)=0,"",SWITCH(LOWER($D36),"buy",IFERROR(LOOKUP(2,1/($B$1:B35=B36),$P$1:P35),0)+$M36+$N36,"drip",IFERROR(LOOKUP(2,1/($B$1:B35=B36),$P$1:P35),0)+$M36+$N36,"sell",IFERROR(LOOKUP(2,1/($B$1:B35=B36),$P$1:P35),0)-IFERROR(IFERROR(LOOKUP(2,1/($B$1:B35=B36),$P$1:P35),0)/IFERROR(LOOKUP(2,1/($B$1:B35=B36),$O$1:O35),0)*$E36,0),"return_of_capital",IFERROR(LOOKUP(2,1/($B$1:B35=B36),$P$1:P35),0)-ABS($M36),"split",IFERROR(LOOKUP(2,1/($B$1:B35=B36),$P$1:P35),0),IFERROR(LOOKUP(2,1/($B$1:B35=B36),$P$1:P35),0)))</x:f>
      </x:c>
      <x:c r="Q36" t="str">
        <x:f>IFERROR($P36/$O36,"")</x:f>
      </x:c>
      <x:c r="R36" t="str">
        <x:f>IF(LOWER($D36)="sell",$M36-$N36-IFERROR(IFERROR(LOOKUP(2,1/($B$1:B35=B36),$P$1:P35),0)/IFERROR(LOOKUP(2,1/($B$1:B35=B36),$O$1:O35),0)*$E36,0),"")</x:f>
      </x:c>
      <x:c r="S36" t="str">
        <x:f>IF(COUNTA($A36:$D36)=0,"",IF($B36="","Missing symbol",IF($D36="","Missing action",IF(AND(LOWER($D36)="sell",$E36&gt;IFERROR(LOOKUP(2,1/($B$1:B35=B36),$O$1:O35),0)),"Sold more units than available","OK"))))</x:f>
      </x:c>
    </x:row>
    <x:row r="37">
      <x:c r="M37" t="str">
        <x:f>IF(COUNTA($A37:$D37)=0,"",IF($G37&lt;&gt;"",$G37,IF(AND($E37&lt;&gt;"",$F37&lt;&gt;""),$E37*$F37,""))*IF($J37&lt;&gt;"",$J37,1))</x:f>
      </x:c>
      <x:c r="N37" t="str">
        <x:f>IF(COUNTA($A37:$D37)=0,"",IF($H37&lt;&gt;"",$H37,0)*IF($J37&lt;&gt;"",$J37,1))</x:f>
      </x:c>
      <x:c r="O37" t="str">
        <x:f>IF(COUNTA($A37:$D37)=0,"",SWITCH(LOWER($D37),"buy",IFERROR(LOOKUP(2,1/($B$1:B36=B37),$O$1:O36),0)+$E37,"drip",IFERROR(LOOKUP(2,1/($B$1:B36=B37),$O$1:O36),0)+$E37,"sell",IFERROR(LOOKUP(2,1/($B$1:B36=B37),$O$1:O36),0)-$E37,"return_of_capital",IFERROR(LOOKUP(2,1/($B$1:B36=B37),$O$1:O36),0),"split",$E37,IFERROR(LOOKUP(2,1/($B$1:B36=B37),$O$1:O36),0)))</x:f>
      </x:c>
      <x:c r="P37" t="str">
        <x:f>IF(COUNTA($A37:$D37)=0,"",SWITCH(LOWER($D37),"buy",IFERROR(LOOKUP(2,1/($B$1:B36=B37),$P$1:P36),0)+$M37+$N37,"drip",IFERROR(LOOKUP(2,1/($B$1:B36=B37),$P$1:P36),0)+$M37+$N37,"sell",IFERROR(LOOKUP(2,1/($B$1:B36=B37),$P$1:P36),0)-IFERROR(IFERROR(LOOKUP(2,1/($B$1:B36=B37),$P$1:P36),0)/IFERROR(LOOKUP(2,1/($B$1:B36=B37),$O$1:O36),0)*$E37,0),"return_of_capital",IFERROR(LOOKUP(2,1/($B$1:B36=B37),$P$1:P36),0)-ABS($M37),"split",IFERROR(LOOKUP(2,1/($B$1:B36=B37),$P$1:P36),0),IFERROR(LOOKUP(2,1/($B$1:B36=B37),$P$1:P36),0)))</x:f>
      </x:c>
      <x:c r="Q37" t="str">
        <x:f>IFERROR($P37/$O37,"")</x:f>
      </x:c>
      <x:c r="R37" t="str">
        <x:f>IF(LOWER($D37)="sell",$M37-$N37-IFERROR(IFERROR(LOOKUP(2,1/($B$1:B36=B37),$P$1:P36),0)/IFERROR(LOOKUP(2,1/($B$1:B36=B37),$O$1:O36),0)*$E37,0),"")</x:f>
      </x:c>
      <x:c r="S37" t="str">
        <x:f>IF(COUNTA($A37:$D37)=0,"",IF($B37="","Missing symbol",IF($D37="","Missing action",IF(AND(LOWER($D37)="sell",$E37&gt;IFERROR(LOOKUP(2,1/($B$1:B36=B37),$O$1:O36),0)),"Sold more units than available","OK"))))</x:f>
      </x:c>
    </x:row>
    <x:row r="38">
      <x:c r="M38" t="str">
        <x:f>IF(COUNTA($A38:$D38)=0,"",IF($G38&lt;&gt;"",$G38,IF(AND($E38&lt;&gt;"",$F38&lt;&gt;""),$E38*$F38,""))*IF($J38&lt;&gt;"",$J38,1))</x:f>
      </x:c>
      <x:c r="N38" t="str">
        <x:f>IF(COUNTA($A38:$D38)=0,"",IF($H38&lt;&gt;"",$H38,0)*IF($J38&lt;&gt;"",$J38,1))</x:f>
      </x:c>
      <x:c r="O38" t="str">
        <x:f>IF(COUNTA($A38:$D38)=0,"",SWITCH(LOWER($D38),"buy",IFERROR(LOOKUP(2,1/($B$1:B37=B38),$O$1:O37),0)+$E38,"drip",IFERROR(LOOKUP(2,1/($B$1:B37=B38),$O$1:O37),0)+$E38,"sell",IFERROR(LOOKUP(2,1/($B$1:B37=B38),$O$1:O37),0)-$E38,"return_of_capital",IFERROR(LOOKUP(2,1/($B$1:B37=B38),$O$1:O37),0),"split",$E38,IFERROR(LOOKUP(2,1/($B$1:B37=B38),$O$1:O37),0)))</x:f>
      </x:c>
      <x:c r="P38" t="str">
        <x:f>IF(COUNTA($A38:$D38)=0,"",SWITCH(LOWER($D38),"buy",IFERROR(LOOKUP(2,1/($B$1:B37=B38),$P$1:P37),0)+$M38+$N38,"drip",IFERROR(LOOKUP(2,1/($B$1:B37=B38),$P$1:P37),0)+$M38+$N38,"sell",IFERROR(LOOKUP(2,1/($B$1:B37=B38),$P$1:P37),0)-IFERROR(IFERROR(LOOKUP(2,1/($B$1:B37=B38),$P$1:P37),0)/IFERROR(LOOKUP(2,1/($B$1:B37=B38),$O$1:O37),0)*$E38,0),"return_of_capital",IFERROR(LOOKUP(2,1/($B$1:B37=B38),$P$1:P37),0)-ABS($M38),"split",IFERROR(LOOKUP(2,1/($B$1:B37=B38),$P$1:P37),0),IFERROR(LOOKUP(2,1/($B$1:B37=B38),$P$1:P37),0)))</x:f>
      </x:c>
      <x:c r="Q38" t="str">
        <x:f>IFERROR($P38/$O38,"")</x:f>
      </x:c>
      <x:c r="R38" t="str">
        <x:f>IF(LOWER($D38)="sell",$M38-$N38-IFERROR(IFERROR(LOOKUP(2,1/($B$1:B37=B38),$P$1:P37),0)/IFERROR(LOOKUP(2,1/($B$1:B37=B38),$O$1:O37),0)*$E38,0),"")</x:f>
      </x:c>
      <x:c r="S38" t="str">
        <x:f>IF(COUNTA($A38:$D38)=0,"",IF($B38="","Missing symbol",IF($D38="","Missing action",IF(AND(LOWER($D38)="sell",$E38&gt;IFERROR(LOOKUP(2,1/($B$1:B37=B38),$O$1:O37),0)),"Sold more units than available","OK"))))</x:f>
      </x:c>
    </x:row>
    <x:row r="39">
      <x:c r="M39" t="str">
        <x:f>IF(COUNTA($A39:$D39)=0,"",IF($G39&lt;&gt;"",$G39,IF(AND($E39&lt;&gt;"",$F39&lt;&gt;""),$E39*$F39,""))*IF($J39&lt;&gt;"",$J39,1))</x:f>
      </x:c>
      <x:c r="N39" t="str">
        <x:f>IF(COUNTA($A39:$D39)=0,"",IF($H39&lt;&gt;"",$H39,0)*IF($J39&lt;&gt;"",$J39,1))</x:f>
      </x:c>
      <x:c r="O39" t="str">
        <x:f>IF(COUNTA($A39:$D39)=0,"",SWITCH(LOWER($D39),"buy",IFERROR(LOOKUP(2,1/($B$1:B38=B39),$O$1:O38),0)+$E39,"drip",IFERROR(LOOKUP(2,1/($B$1:B38=B39),$O$1:O38),0)+$E39,"sell",IFERROR(LOOKUP(2,1/($B$1:B38=B39),$O$1:O38),0)-$E39,"return_of_capital",IFERROR(LOOKUP(2,1/($B$1:B38=B39),$O$1:O38),0),"split",$E39,IFERROR(LOOKUP(2,1/($B$1:B38=B39),$O$1:O38),0)))</x:f>
      </x:c>
      <x:c r="P39" t="str">
        <x:f>IF(COUNTA($A39:$D39)=0,"",SWITCH(LOWER($D39),"buy",IFERROR(LOOKUP(2,1/($B$1:B38=B39),$P$1:P38),0)+$M39+$N39,"drip",IFERROR(LOOKUP(2,1/($B$1:B38=B39),$P$1:P38),0)+$M39+$N39,"sell",IFERROR(LOOKUP(2,1/($B$1:B38=B39),$P$1:P38),0)-IFERROR(IFERROR(LOOKUP(2,1/($B$1:B38=B39),$P$1:P38),0)/IFERROR(LOOKUP(2,1/($B$1:B38=B39),$O$1:O38),0)*$E39,0),"return_of_capital",IFERROR(LOOKUP(2,1/($B$1:B38=B39),$P$1:P38),0)-ABS($M39),"split",IFERROR(LOOKUP(2,1/($B$1:B38=B39),$P$1:P38),0),IFERROR(LOOKUP(2,1/($B$1:B38=B39),$P$1:P38),0)))</x:f>
      </x:c>
      <x:c r="Q39" t="str">
        <x:f>IFERROR($P39/$O39,"")</x:f>
      </x:c>
      <x:c r="R39" t="str">
        <x:f>IF(LOWER($D39)="sell",$M39-$N39-IFERROR(IFERROR(LOOKUP(2,1/($B$1:B38=B39),$P$1:P38),0)/IFERROR(LOOKUP(2,1/($B$1:B38=B39),$O$1:O38),0)*$E39,0),"")</x:f>
      </x:c>
      <x:c r="S39" t="str">
        <x:f>IF(COUNTA($A39:$D39)=0,"",IF($B39="","Missing symbol",IF($D39="","Missing action",IF(AND(LOWER($D39)="sell",$E39&gt;IFERROR(LOOKUP(2,1/($B$1:B38=B39),$O$1:O38),0)),"Sold more units than available","OK"))))</x:f>
      </x:c>
    </x:row>
    <x:row r="40">
      <x:c r="M40" t="str">
        <x:f>IF(COUNTA($A40:$D40)=0,"",IF($G40&lt;&gt;"",$G40,IF(AND($E40&lt;&gt;"",$F40&lt;&gt;""),$E40*$F40,""))*IF($J40&lt;&gt;"",$J40,1))</x:f>
      </x:c>
      <x:c r="N40" t="str">
        <x:f>IF(COUNTA($A40:$D40)=0,"",IF($H40&lt;&gt;"",$H40,0)*IF($J40&lt;&gt;"",$J40,1))</x:f>
      </x:c>
      <x:c r="O40" t="str">
        <x:f>IF(COUNTA($A40:$D40)=0,"",SWITCH(LOWER($D40),"buy",IFERROR(LOOKUP(2,1/($B$1:B39=B40),$O$1:O39),0)+$E40,"drip",IFERROR(LOOKUP(2,1/($B$1:B39=B40),$O$1:O39),0)+$E40,"sell",IFERROR(LOOKUP(2,1/($B$1:B39=B40),$O$1:O39),0)-$E40,"return_of_capital",IFERROR(LOOKUP(2,1/($B$1:B39=B40),$O$1:O39),0),"split",$E40,IFERROR(LOOKUP(2,1/($B$1:B39=B40),$O$1:O39),0)))</x:f>
      </x:c>
      <x:c r="P40" t="str">
        <x:f>IF(COUNTA($A40:$D40)=0,"",SWITCH(LOWER($D40),"buy",IFERROR(LOOKUP(2,1/($B$1:B39=B40),$P$1:P39),0)+$M40+$N40,"drip",IFERROR(LOOKUP(2,1/($B$1:B39=B40),$P$1:P39),0)+$M40+$N40,"sell",IFERROR(LOOKUP(2,1/($B$1:B39=B40),$P$1:P39),0)-IFERROR(IFERROR(LOOKUP(2,1/($B$1:B39=B40),$P$1:P39),0)/IFERROR(LOOKUP(2,1/($B$1:B39=B40),$O$1:O39),0)*$E40,0),"return_of_capital",IFERROR(LOOKUP(2,1/($B$1:B39=B40),$P$1:P39),0)-ABS($M40),"split",IFERROR(LOOKUP(2,1/($B$1:B39=B40),$P$1:P39),0),IFERROR(LOOKUP(2,1/($B$1:B39=B40),$P$1:P39),0)))</x:f>
      </x:c>
      <x:c r="Q40" t="str">
        <x:f>IFERROR($P40/$O40,"")</x:f>
      </x:c>
      <x:c r="R40" t="str">
        <x:f>IF(LOWER($D40)="sell",$M40-$N40-IFERROR(IFERROR(LOOKUP(2,1/($B$1:B39=B40),$P$1:P39),0)/IFERROR(LOOKUP(2,1/($B$1:B39=B40),$O$1:O39),0)*$E40,0),"")</x:f>
      </x:c>
      <x:c r="S40" t="str">
        <x:f>IF(COUNTA($A40:$D40)=0,"",IF($B40="","Missing symbol",IF($D40="","Missing action",IF(AND(LOWER($D40)="sell",$E40&gt;IFERROR(LOOKUP(2,1/($B$1:B39=B40),$O$1:O39),0)),"Sold more units than available","OK"))))</x:f>
      </x:c>
    </x:row>
    <x:row r="41">
      <x:c r="M41" t="str">
        <x:f>IF(COUNTA($A41:$D41)=0,"",IF($G41&lt;&gt;"",$G41,IF(AND($E41&lt;&gt;"",$F41&lt;&gt;""),$E41*$F41,""))*IF($J41&lt;&gt;"",$J41,1))</x:f>
      </x:c>
      <x:c r="N41" t="str">
        <x:f>IF(COUNTA($A41:$D41)=0,"",IF($H41&lt;&gt;"",$H41,0)*IF($J41&lt;&gt;"",$J41,1))</x:f>
      </x:c>
      <x:c r="O41" t="str">
        <x:f>IF(COUNTA($A41:$D41)=0,"",SWITCH(LOWER($D41),"buy",IFERROR(LOOKUP(2,1/($B$1:B40=B41),$O$1:O40),0)+$E41,"drip",IFERROR(LOOKUP(2,1/($B$1:B40=B41),$O$1:O40),0)+$E41,"sell",IFERROR(LOOKUP(2,1/($B$1:B40=B41),$O$1:O40),0)-$E41,"return_of_capital",IFERROR(LOOKUP(2,1/($B$1:B40=B41),$O$1:O40),0),"split",$E41,IFERROR(LOOKUP(2,1/($B$1:B40=B41),$O$1:O40),0)))</x:f>
      </x:c>
      <x:c r="P41" t="str">
        <x:f>IF(COUNTA($A41:$D41)=0,"",SWITCH(LOWER($D41),"buy",IFERROR(LOOKUP(2,1/($B$1:B40=B41),$P$1:P40),0)+$M41+$N41,"drip",IFERROR(LOOKUP(2,1/($B$1:B40=B41),$P$1:P40),0)+$M41+$N41,"sell",IFERROR(LOOKUP(2,1/($B$1:B40=B41),$P$1:P40),0)-IFERROR(IFERROR(LOOKUP(2,1/($B$1:B40=B41),$P$1:P40),0)/IFERROR(LOOKUP(2,1/($B$1:B40=B41),$O$1:O40),0)*$E41,0),"return_of_capital",IFERROR(LOOKUP(2,1/($B$1:B40=B41),$P$1:P40),0)-ABS($M41),"split",IFERROR(LOOKUP(2,1/($B$1:B40=B41),$P$1:P40),0),IFERROR(LOOKUP(2,1/($B$1:B40=B41),$P$1:P40),0)))</x:f>
      </x:c>
      <x:c r="Q41" t="str">
        <x:f>IFERROR($P41/$O41,"")</x:f>
      </x:c>
      <x:c r="R41" t="str">
        <x:f>IF(LOWER($D41)="sell",$M41-$N41-IFERROR(IFERROR(LOOKUP(2,1/($B$1:B40=B41),$P$1:P40),0)/IFERROR(LOOKUP(2,1/($B$1:B40=B41),$O$1:O40),0)*$E41,0),"")</x:f>
      </x:c>
      <x:c r="S41" t="str">
        <x:f>IF(COUNTA($A41:$D41)=0,"",IF($B41="","Missing symbol",IF($D41="","Missing action",IF(AND(LOWER($D41)="sell",$E41&gt;IFERROR(LOOKUP(2,1/($B$1:B40=B41),$O$1:O40),0)),"Sold more units than available","OK"))))</x:f>
      </x:c>
    </x:row>
    <x:row r="42">
      <x:c r="M42" t="str">
        <x:f>IF(COUNTA($A42:$D42)=0,"",IF($G42&lt;&gt;"",$G42,IF(AND($E42&lt;&gt;"",$F42&lt;&gt;""),$E42*$F42,""))*IF($J42&lt;&gt;"",$J42,1))</x:f>
      </x:c>
      <x:c r="N42" t="str">
        <x:f>IF(COUNTA($A42:$D42)=0,"",IF($H42&lt;&gt;"",$H42,0)*IF($J42&lt;&gt;"",$J42,1))</x:f>
      </x:c>
      <x:c r="O42" t="str">
        <x:f>IF(COUNTA($A42:$D42)=0,"",SWITCH(LOWER($D42),"buy",IFERROR(LOOKUP(2,1/($B$1:B41=B42),$O$1:O41),0)+$E42,"drip",IFERROR(LOOKUP(2,1/($B$1:B41=B42),$O$1:O41),0)+$E42,"sell",IFERROR(LOOKUP(2,1/($B$1:B41=B42),$O$1:O41),0)-$E42,"return_of_capital",IFERROR(LOOKUP(2,1/($B$1:B41=B42),$O$1:O41),0),"split",$E42,IFERROR(LOOKUP(2,1/($B$1:B41=B42),$O$1:O41),0)))</x:f>
      </x:c>
      <x:c r="P42" t="str">
        <x:f>IF(COUNTA($A42:$D42)=0,"",SWITCH(LOWER($D42),"buy",IFERROR(LOOKUP(2,1/($B$1:B41=B42),$P$1:P41),0)+$M42+$N42,"drip",IFERROR(LOOKUP(2,1/($B$1:B41=B42),$P$1:P41),0)+$M42+$N42,"sell",IFERROR(LOOKUP(2,1/($B$1:B41=B42),$P$1:P41),0)-IFERROR(IFERROR(LOOKUP(2,1/($B$1:B41=B42),$P$1:P41),0)/IFERROR(LOOKUP(2,1/($B$1:B41=B42),$O$1:O41),0)*$E42,0),"return_of_capital",IFERROR(LOOKUP(2,1/($B$1:B41=B42),$P$1:P41),0)-ABS($M42),"split",IFERROR(LOOKUP(2,1/($B$1:B41=B42),$P$1:P41),0),IFERROR(LOOKUP(2,1/($B$1:B41=B42),$P$1:P41),0)))</x:f>
      </x:c>
      <x:c r="Q42" t="str">
        <x:f>IFERROR($P42/$O42,"")</x:f>
      </x:c>
      <x:c r="R42" t="str">
        <x:f>IF(LOWER($D42)="sell",$M42-$N42-IFERROR(IFERROR(LOOKUP(2,1/($B$1:B41=B42),$P$1:P41),0)/IFERROR(LOOKUP(2,1/($B$1:B41=B42),$O$1:O41),0)*$E42,0),"")</x:f>
      </x:c>
      <x:c r="S42" t="str">
        <x:f>IF(COUNTA($A42:$D42)=0,"",IF($B42="","Missing symbol",IF($D42="","Missing action",IF(AND(LOWER($D42)="sell",$E42&gt;IFERROR(LOOKUP(2,1/($B$1:B41=B42),$O$1:O41),0)),"Sold more units than available","OK"))))</x:f>
      </x:c>
    </x:row>
    <x:row r="43">
      <x:c r="M43" t="str">
        <x:f>IF(COUNTA($A43:$D43)=0,"",IF($G43&lt;&gt;"",$G43,IF(AND($E43&lt;&gt;"",$F43&lt;&gt;""),$E43*$F43,""))*IF($J43&lt;&gt;"",$J43,1))</x:f>
      </x:c>
      <x:c r="N43" t="str">
        <x:f>IF(COUNTA($A43:$D43)=0,"",IF($H43&lt;&gt;"",$H43,0)*IF($J43&lt;&gt;"",$J43,1))</x:f>
      </x:c>
      <x:c r="O43" t="str">
        <x:f>IF(COUNTA($A43:$D43)=0,"",SWITCH(LOWER($D43),"buy",IFERROR(LOOKUP(2,1/($B$1:B42=B43),$O$1:O42),0)+$E43,"drip",IFERROR(LOOKUP(2,1/($B$1:B42=B43),$O$1:O42),0)+$E43,"sell",IFERROR(LOOKUP(2,1/($B$1:B42=B43),$O$1:O42),0)-$E43,"return_of_capital",IFERROR(LOOKUP(2,1/($B$1:B42=B43),$O$1:O42),0),"split",$E43,IFERROR(LOOKUP(2,1/($B$1:B42=B43),$O$1:O42),0)))</x:f>
      </x:c>
      <x:c r="P43" t="str">
        <x:f>IF(COUNTA($A43:$D43)=0,"",SWITCH(LOWER($D43),"buy",IFERROR(LOOKUP(2,1/($B$1:B42=B43),$P$1:P42),0)+$M43+$N43,"drip",IFERROR(LOOKUP(2,1/($B$1:B42=B43),$P$1:P42),0)+$M43+$N43,"sell",IFERROR(LOOKUP(2,1/($B$1:B42=B43),$P$1:P42),0)-IFERROR(IFERROR(LOOKUP(2,1/($B$1:B42=B43),$P$1:P42),0)/IFERROR(LOOKUP(2,1/($B$1:B42=B43),$O$1:O42),0)*$E43,0),"return_of_capital",IFERROR(LOOKUP(2,1/($B$1:B42=B43),$P$1:P42),0)-ABS($M43),"split",IFERROR(LOOKUP(2,1/($B$1:B42=B43),$P$1:P42),0),IFERROR(LOOKUP(2,1/($B$1:B42=B43),$P$1:P42),0)))</x:f>
      </x:c>
      <x:c r="Q43" t="str">
        <x:f>IFERROR($P43/$O43,"")</x:f>
      </x:c>
      <x:c r="R43" t="str">
        <x:f>IF(LOWER($D43)="sell",$M43-$N43-IFERROR(IFERROR(LOOKUP(2,1/($B$1:B42=B43),$P$1:P42),0)/IFERROR(LOOKUP(2,1/($B$1:B42=B43),$O$1:O42),0)*$E43,0),"")</x:f>
      </x:c>
      <x:c r="S43" t="str">
        <x:f>IF(COUNTA($A43:$D43)=0,"",IF($B43="","Missing symbol",IF($D43="","Missing action",IF(AND(LOWER($D43)="sell",$E43&gt;IFERROR(LOOKUP(2,1/($B$1:B42=B43),$O$1:O42),0)),"Sold more units than available","OK"))))</x:f>
      </x:c>
    </x:row>
    <x:row r="44">
      <x:c r="M44" t="str">
        <x:f>IF(COUNTA($A44:$D44)=0,"",IF($G44&lt;&gt;"",$G44,IF(AND($E44&lt;&gt;"",$F44&lt;&gt;""),$E44*$F44,""))*IF($J44&lt;&gt;"",$J44,1))</x:f>
      </x:c>
      <x:c r="N44" t="str">
        <x:f>IF(COUNTA($A44:$D44)=0,"",IF($H44&lt;&gt;"",$H44,0)*IF($J44&lt;&gt;"",$J44,1))</x:f>
      </x:c>
      <x:c r="O44" t="str">
        <x:f>IF(COUNTA($A44:$D44)=0,"",SWITCH(LOWER($D44),"buy",IFERROR(LOOKUP(2,1/($B$1:B43=B44),$O$1:O43),0)+$E44,"drip",IFERROR(LOOKUP(2,1/($B$1:B43=B44),$O$1:O43),0)+$E44,"sell",IFERROR(LOOKUP(2,1/($B$1:B43=B44),$O$1:O43),0)-$E44,"return_of_capital",IFERROR(LOOKUP(2,1/($B$1:B43=B44),$O$1:O43),0),"split",$E44,IFERROR(LOOKUP(2,1/($B$1:B43=B44),$O$1:O43),0)))</x:f>
      </x:c>
      <x:c r="P44" t="str">
        <x:f>IF(COUNTA($A44:$D44)=0,"",SWITCH(LOWER($D44),"buy",IFERROR(LOOKUP(2,1/($B$1:B43=B44),$P$1:P43),0)+$M44+$N44,"drip",IFERROR(LOOKUP(2,1/($B$1:B43=B44),$P$1:P43),0)+$M44+$N44,"sell",IFERROR(LOOKUP(2,1/($B$1:B43=B44),$P$1:P43),0)-IFERROR(IFERROR(LOOKUP(2,1/($B$1:B43=B44),$P$1:P43),0)/IFERROR(LOOKUP(2,1/($B$1:B43=B44),$O$1:O43),0)*$E44,0),"return_of_capital",IFERROR(LOOKUP(2,1/($B$1:B43=B44),$P$1:P43),0)-ABS($M44),"split",IFERROR(LOOKUP(2,1/($B$1:B43=B44),$P$1:P43),0),IFERROR(LOOKUP(2,1/($B$1:B43=B44),$P$1:P43),0)))</x:f>
      </x:c>
      <x:c r="Q44" t="str">
        <x:f>IFERROR($P44/$O44,"")</x:f>
      </x:c>
      <x:c r="R44" t="str">
        <x:f>IF(LOWER($D44)="sell",$M44-$N44-IFERROR(IFERROR(LOOKUP(2,1/($B$1:B43=B44),$P$1:P43),0)/IFERROR(LOOKUP(2,1/($B$1:B43=B44),$O$1:O43),0)*$E44,0),"")</x:f>
      </x:c>
      <x:c r="S44" t="str">
        <x:f>IF(COUNTA($A44:$D44)=0,"",IF($B44="","Missing symbol",IF($D44="","Missing action",IF(AND(LOWER($D44)="sell",$E44&gt;IFERROR(LOOKUP(2,1/($B$1:B43=B44),$O$1:O43),0)),"Sold more units than available","OK"))))</x:f>
      </x:c>
    </x:row>
    <x:row r="45">
      <x:c r="M45" t="str">
        <x:f>IF(COUNTA($A45:$D45)=0,"",IF($G45&lt;&gt;"",$G45,IF(AND($E45&lt;&gt;"",$F45&lt;&gt;""),$E45*$F45,""))*IF($J45&lt;&gt;"",$J45,1))</x:f>
      </x:c>
      <x:c r="N45" t="str">
        <x:f>IF(COUNTA($A45:$D45)=0,"",IF($H45&lt;&gt;"",$H45,0)*IF($J45&lt;&gt;"",$J45,1))</x:f>
      </x:c>
      <x:c r="O45" t="str">
        <x:f>IF(COUNTA($A45:$D45)=0,"",SWITCH(LOWER($D45),"buy",IFERROR(LOOKUP(2,1/($B$1:B44=B45),$O$1:O44),0)+$E45,"drip",IFERROR(LOOKUP(2,1/($B$1:B44=B45),$O$1:O44),0)+$E45,"sell",IFERROR(LOOKUP(2,1/($B$1:B44=B45),$O$1:O44),0)-$E45,"return_of_capital",IFERROR(LOOKUP(2,1/($B$1:B44=B45),$O$1:O44),0),"split",$E45,IFERROR(LOOKUP(2,1/($B$1:B44=B45),$O$1:O44),0)))</x:f>
      </x:c>
      <x:c r="P45" t="str">
        <x:f>IF(COUNTA($A45:$D45)=0,"",SWITCH(LOWER($D45),"buy",IFERROR(LOOKUP(2,1/($B$1:B44=B45),$P$1:P44),0)+$M45+$N45,"drip",IFERROR(LOOKUP(2,1/($B$1:B44=B45),$P$1:P44),0)+$M45+$N45,"sell",IFERROR(LOOKUP(2,1/($B$1:B44=B45),$P$1:P44),0)-IFERROR(IFERROR(LOOKUP(2,1/($B$1:B44=B45),$P$1:P44),0)/IFERROR(LOOKUP(2,1/($B$1:B44=B45),$O$1:O44),0)*$E45,0),"return_of_capital",IFERROR(LOOKUP(2,1/($B$1:B44=B45),$P$1:P44),0)-ABS($M45),"split",IFERROR(LOOKUP(2,1/($B$1:B44=B45),$P$1:P44),0),IFERROR(LOOKUP(2,1/($B$1:B44=B45),$P$1:P44),0)))</x:f>
      </x:c>
      <x:c r="Q45" t="str">
        <x:f>IFERROR($P45/$O45,"")</x:f>
      </x:c>
      <x:c r="R45" t="str">
        <x:f>IF(LOWER($D45)="sell",$M45-$N45-IFERROR(IFERROR(LOOKUP(2,1/($B$1:B44=B45),$P$1:P44),0)/IFERROR(LOOKUP(2,1/($B$1:B44=B45),$O$1:O44),0)*$E45,0),"")</x:f>
      </x:c>
      <x:c r="S45" t="str">
        <x:f>IF(COUNTA($A45:$D45)=0,"",IF($B45="","Missing symbol",IF($D45="","Missing action",IF(AND(LOWER($D45)="sell",$E45&gt;IFERROR(LOOKUP(2,1/($B$1:B44=B45),$O$1:O44),0)),"Sold more units than available","OK"))))</x:f>
      </x:c>
    </x:row>
    <x:row r="46">
      <x:c r="M46" t="str">
        <x:f>IF(COUNTA($A46:$D46)=0,"",IF($G46&lt;&gt;"",$G46,IF(AND($E46&lt;&gt;"",$F46&lt;&gt;""),$E46*$F46,""))*IF($J46&lt;&gt;"",$J46,1))</x:f>
      </x:c>
      <x:c r="N46" t="str">
        <x:f>IF(COUNTA($A46:$D46)=0,"",IF($H46&lt;&gt;"",$H46,0)*IF($J46&lt;&gt;"",$J46,1))</x:f>
      </x:c>
      <x:c r="O46" t="str">
        <x:f>IF(COUNTA($A46:$D46)=0,"",SWITCH(LOWER($D46),"buy",IFERROR(LOOKUP(2,1/($B$1:B45=B46),$O$1:O45),0)+$E46,"drip",IFERROR(LOOKUP(2,1/($B$1:B45=B46),$O$1:O45),0)+$E46,"sell",IFERROR(LOOKUP(2,1/($B$1:B45=B46),$O$1:O45),0)-$E46,"return_of_capital",IFERROR(LOOKUP(2,1/($B$1:B45=B46),$O$1:O45),0),"split",$E46,IFERROR(LOOKUP(2,1/($B$1:B45=B46),$O$1:O45),0)))</x:f>
      </x:c>
      <x:c r="P46" t="str">
        <x:f>IF(COUNTA($A46:$D46)=0,"",SWITCH(LOWER($D46),"buy",IFERROR(LOOKUP(2,1/($B$1:B45=B46),$P$1:P45),0)+$M46+$N46,"drip",IFERROR(LOOKUP(2,1/($B$1:B45=B46),$P$1:P45),0)+$M46+$N46,"sell",IFERROR(LOOKUP(2,1/($B$1:B45=B46),$P$1:P45),0)-IFERROR(IFERROR(LOOKUP(2,1/($B$1:B45=B46),$P$1:P45),0)/IFERROR(LOOKUP(2,1/($B$1:B45=B46),$O$1:O45),0)*$E46,0),"return_of_capital",IFERROR(LOOKUP(2,1/($B$1:B45=B46),$P$1:P45),0)-ABS($M46),"split",IFERROR(LOOKUP(2,1/($B$1:B45=B46),$P$1:P45),0),IFERROR(LOOKUP(2,1/($B$1:B45=B46),$P$1:P45),0)))</x:f>
      </x:c>
      <x:c r="Q46" t="str">
        <x:f>IFERROR($P46/$O46,"")</x:f>
      </x:c>
      <x:c r="R46" t="str">
        <x:f>IF(LOWER($D46)="sell",$M46-$N46-IFERROR(IFERROR(LOOKUP(2,1/($B$1:B45=B46),$P$1:P45),0)/IFERROR(LOOKUP(2,1/($B$1:B45=B46),$O$1:O45),0)*$E46,0),"")</x:f>
      </x:c>
      <x:c r="S46" t="str">
        <x:f>IF(COUNTA($A46:$D46)=0,"",IF($B46="","Missing symbol",IF($D46="","Missing action",IF(AND(LOWER($D46)="sell",$E46&gt;IFERROR(LOOKUP(2,1/($B$1:B45=B46),$O$1:O45),0)),"Sold more units than available","OK"))))</x:f>
      </x:c>
    </x:row>
    <x:row r="47">
      <x:c r="M47" t="str">
        <x:f>IF(COUNTA($A47:$D47)=0,"",IF($G47&lt;&gt;"",$G47,IF(AND($E47&lt;&gt;"",$F47&lt;&gt;""),$E47*$F47,""))*IF($J47&lt;&gt;"",$J47,1))</x:f>
      </x:c>
      <x:c r="N47" t="str">
        <x:f>IF(COUNTA($A47:$D47)=0,"",IF($H47&lt;&gt;"",$H47,0)*IF($J47&lt;&gt;"",$J47,1))</x:f>
      </x:c>
      <x:c r="O47" t="str">
        <x:f>IF(COUNTA($A47:$D47)=0,"",SWITCH(LOWER($D47),"buy",IFERROR(LOOKUP(2,1/($B$1:B46=B47),$O$1:O46),0)+$E47,"drip",IFERROR(LOOKUP(2,1/($B$1:B46=B47),$O$1:O46),0)+$E47,"sell",IFERROR(LOOKUP(2,1/($B$1:B46=B47),$O$1:O46),0)-$E47,"return_of_capital",IFERROR(LOOKUP(2,1/($B$1:B46=B47),$O$1:O46),0),"split",$E47,IFERROR(LOOKUP(2,1/($B$1:B46=B47),$O$1:O46),0)))</x:f>
      </x:c>
      <x:c r="P47" t="str">
        <x:f>IF(COUNTA($A47:$D47)=0,"",SWITCH(LOWER($D47),"buy",IFERROR(LOOKUP(2,1/($B$1:B46=B47),$P$1:P46),0)+$M47+$N47,"drip",IFERROR(LOOKUP(2,1/($B$1:B46=B47),$P$1:P46),0)+$M47+$N47,"sell",IFERROR(LOOKUP(2,1/($B$1:B46=B47),$P$1:P46),0)-IFERROR(IFERROR(LOOKUP(2,1/($B$1:B46=B47),$P$1:P46),0)/IFERROR(LOOKUP(2,1/($B$1:B46=B47),$O$1:O46),0)*$E47,0),"return_of_capital",IFERROR(LOOKUP(2,1/($B$1:B46=B47),$P$1:P46),0)-ABS($M47),"split",IFERROR(LOOKUP(2,1/($B$1:B46=B47),$P$1:P46),0),IFERROR(LOOKUP(2,1/($B$1:B46=B47),$P$1:P46),0)))</x:f>
      </x:c>
      <x:c r="Q47" t="str">
        <x:f>IFERROR($P47/$O47,"")</x:f>
      </x:c>
      <x:c r="R47" t="str">
        <x:f>IF(LOWER($D47)="sell",$M47-$N47-IFERROR(IFERROR(LOOKUP(2,1/($B$1:B46=B47),$P$1:P46),0)/IFERROR(LOOKUP(2,1/($B$1:B46=B47),$O$1:O46),0)*$E47,0),"")</x:f>
      </x:c>
      <x:c r="S47" t="str">
        <x:f>IF(COUNTA($A47:$D47)=0,"",IF($B47="","Missing symbol",IF($D47="","Missing action",IF(AND(LOWER($D47)="sell",$E47&gt;IFERROR(LOOKUP(2,1/($B$1:B46=B47),$O$1:O46),0)),"Sold more units than available","OK"))))</x:f>
      </x:c>
    </x:row>
    <x:row r="48">
      <x:c r="M48" t="str">
        <x:f>IF(COUNTA($A48:$D48)=0,"",IF($G48&lt;&gt;"",$G48,IF(AND($E48&lt;&gt;"",$F48&lt;&gt;""),$E48*$F48,""))*IF($J48&lt;&gt;"",$J48,1))</x:f>
      </x:c>
      <x:c r="N48" t="str">
        <x:f>IF(COUNTA($A48:$D48)=0,"",IF($H48&lt;&gt;"",$H48,0)*IF($J48&lt;&gt;"",$J48,1))</x:f>
      </x:c>
      <x:c r="O48" t="str">
        <x:f>IF(COUNTA($A48:$D48)=0,"",SWITCH(LOWER($D48),"buy",IFERROR(LOOKUP(2,1/($B$1:B47=B48),$O$1:O47),0)+$E48,"drip",IFERROR(LOOKUP(2,1/($B$1:B47=B48),$O$1:O47),0)+$E48,"sell",IFERROR(LOOKUP(2,1/($B$1:B47=B48),$O$1:O47),0)-$E48,"return_of_capital",IFERROR(LOOKUP(2,1/($B$1:B47=B48),$O$1:O47),0),"split",$E48,IFERROR(LOOKUP(2,1/($B$1:B47=B48),$O$1:O47),0)))</x:f>
      </x:c>
      <x:c r="P48" t="str">
        <x:f>IF(COUNTA($A48:$D48)=0,"",SWITCH(LOWER($D48),"buy",IFERROR(LOOKUP(2,1/($B$1:B47=B48),$P$1:P47),0)+$M48+$N48,"drip",IFERROR(LOOKUP(2,1/($B$1:B47=B48),$P$1:P47),0)+$M48+$N48,"sell",IFERROR(LOOKUP(2,1/($B$1:B47=B48),$P$1:P47),0)-IFERROR(IFERROR(LOOKUP(2,1/($B$1:B47=B48),$P$1:P47),0)/IFERROR(LOOKUP(2,1/($B$1:B47=B48),$O$1:O47),0)*$E48,0),"return_of_capital",IFERROR(LOOKUP(2,1/($B$1:B47=B48),$P$1:P47),0)-ABS($M48),"split",IFERROR(LOOKUP(2,1/($B$1:B47=B48),$P$1:P47),0),IFERROR(LOOKUP(2,1/($B$1:B47=B48),$P$1:P47),0)))</x:f>
      </x:c>
      <x:c r="Q48" t="str">
        <x:f>IFERROR($P48/$O48,"")</x:f>
      </x:c>
      <x:c r="R48" t="str">
        <x:f>IF(LOWER($D48)="sell",$M48-$N48-IFERROR(IFERROR(LOOKUP(2,1/($B$1:B47=B48),$P$1:P47),0)/IFERROR(LOOKUP(2,1/($B$1:B47=B48),$O$1:O47),0)*$E48,0),"")</x:f>
      </x:c>
      <x:c r="S48" t="str">
        <x:f>IF(COUNTA($A48:$D48)=0,"",IF($B48="","Missing symbol",IF($D48="","Missing action",IF(AND(LOWER($D48)="sell",$E48&gt;IFERROR(LOOKUP(2,1/($B$1:B47=B48),$O$1:O47),0)),"Sold more units than available","OK"))))</x:f>
      </x:c>
    </x:row>
    <x:row r="49">
      <x:c r="M49" t="str">
        <x:f>IF(COUNTA($A49:$D49)=0,"",IF($G49&lt;&gt;"",$G49,IF(AND($E49&lt;&gt;"",$F49&lt;&gt;""),$E49*$F49,""))*IF($J49&lt;&gt;"",$J49,1))</x:f>
      </x:c>
      <x:c r="N49" t="str">
        <x:f>IF(COUNTA($A49:$D49)=0,"",IF($H49&lt;&gt;"",$H49,0)*IF($J49&lt;&gt;"",$J49,1))</x:f>
      </x:c>
      <x:c r="O49" t="str">
        <x:f>IF(COUNTA($A49:$D49)=0,"",SWITCH(LOWER($D49),"buy",IFERROR(LOOKUP(2,1/($B$1:B48=B49),$O$1:O48),0)+$E49,"drip",IFERROR(LOOKUP(2,1/($B$1:B48=B49),$O$1:O48),0)+$E49,"sell",IFERROR(LOOKUP(2,1/($B$1:B48=B49),$O$1:O48),0)-$E49,"return_of_capital",IFERROR(LOOKUP(2,1/($B$1:B48=B49),$O$1:O48),0),"split",$E49,IFERROR(LOOKUP(2,1/($B$1:B48=B49),$O$1:O48),0)))</x:f>
      </x:c>
      <x:c r="P49" t="str">
        <x:f>IF(COUNTA($A49:$D49)=0,"",SWITCH(LOWER($D49),"buy",IFERROR(LOOKUP(2,1/($B$1:B48=B49),$P$1:P48),0)+$M49+$N49,"drip",IFERROR(LOOKUP(2,1/($B$1:B48=B49),$P$1:P48),0)+$M49+$N49,"sell",IFERROR(LOOKUP(2,1/($B$1:B48=B49),$P$1:P48),0)-IFERROR(IFERROR(LOOKUP(2,1/($B$1:B48=B49),$P$1:P48),0)/IFERROR(LOOKUP(2,1/($B$1:B48=B49),$O$1:O48),0)*$E49,0),"return_of_capital",IFERROR(LOOKUP(2,1/($B$1:B48=B49),$P$1:P48),0)-ABS($M49),"split",IFERROR(LOOKUP(2,1/($B$1:B48=B49),$P$1:P48),0),IFERROR(LOOKUP(2,1/($B$1:B48=B49),$P$1:P48),0)))</x:f>
      </x:c>
      <x:c r="Q49" t="str">
        <x:f>IFERROR($P49/$O49,"")</x:f>
      </x:c>
      <x:c r="R49" t="str">
        <x:f>IF(LOWER($D49)="sell",$M49-$N49-IFERROR(IFERROR(LOOKUP(2,1/($B$1:B48=B49),$P$1:P48),0)/IFERROR(LOOKUP(2,1/($B$1:B48=B49),$O$1:O48),0)*$E49,0),"")</x:f>
      </x:c>
      <x:c r="S49" t="str">
        <x:f>IF(COUNTA($A49:$D49)=0,"",IF($B49="","Missing symbol",IF($D49="","Missing action",IF(AND(LOWER($D49)="sell",$E49&gt;IFERROR(LOOKUP(2,1/($B$1:B48=B49),$O$1:O48),0)),"Sold more units than available","OK"))))</x:f>
      </x:c>
    </x:row>
    <x:row r="50">
      <x:c r="M50" t="str">
        <x:f>IF(COUNTA($A50:$D50)=0,"",IF($G50&lt;&gt;"",$G50,IF(AND($E50&lt;&gt;"",$F50&lt;&gt;""),$E50*$F50,""))*IF($J50&lt;&gt;"",$J50,1))</x:f>
      </x:c>
      <x:c r="N50" t="str">
        <x:f>IF(COUNTA($A50:$D50)=0,"",IF($H50&lt;&gt;"",$H50,0)*IF($J50&lt;&gt;"",$J50,1))</x:f>
      </x:c>
      <x:c r="O50" t="str">
        <x:f>IF(COUNTA($A50:$D50)=0,"",SWITCH(LOWER($D50),"buy",IFERROR(LOOKUP(2,1/($B$1:B49=B50),$O$1:O49),0)+$E50,"drip",IFERROR(LOOKUP(2,1/($B$1:B49=B50),$O$1:O49),0)+$E50,"sell",IFERROR(LOOKUP(2,1/($B$1:B49=B50),$O$1:O49),0)-$E50,"return_of_capital",IFERROR(LOOKUP(2,1/($B$1:B49=B50),$O$1:O49),0),"split",$E50,IFERROR(LOOKUP(2,1/($B$1:B49=B50),$O$1:O49),0)))</x:f>
      </x:c>
      <x:c r="P50" t="str">
        <x:f>IF(COUNTA($A50:$D50)=0,"",SWITCH(LOWER($D50),"buy",IFERROR(LOOKUP(2,1/($B$1:B49=B50),$P$1:P49),0)+$M50+$N50,"drip",IFERROR(LOOKUP(2,1/($B$1:B49=B50),$P$1:P49),0)+$M50+$N50,"sell",IFERROR(LOOKUP(2,1/($B$1:B49=B50),$P$1:P49),0)-IFERROR(IFERROR(LOOKUP(2,1/($B$1:B49=B50),$P$1:P49),0)/IFERROR(LOOKUP(2,1/($B$1:B49=B50),$O$1:O49),0)*$E50,0),"return_of_capital",IFERROR(LOOKUP(2,1/($B$1:B49=B50),$P$1:P49),0)-ABS($M50),"split",IFERROR(LOOKUP(2,1/($B$1:B49=B50),$P$1:P49),0),IFERROR(LOOKUP(2,1/($B$1:B49=B50),$P$1:P49),0)))</x:f>
      </x:c>
      <x:c r="Q50" t="str">
        <x:f>IFERROR($P50/$O50,"")</x:f>
      </x:c>
      <x:c r="R50" t="str">
        <x:f>IF(LOWER($D50)="sell",$M50-$N50-IFERROR(IFERROR(LOOKUP(2,1/($B$1:B49=B50),$P$1:P49),0)/IFERROR(LOOKUP(2,1/($B$1:B49=B50),$O$1:O49),0)*$E50,0),"")</x:f>
      </x:c>
      <x:c r="S50" t="str">
        <x:f>IF(COUNTA($A50:$D50)=0,"",IF($B50="","Missing symbol",IF($D50="","Missing action",IF(AND(LOWER($D50)="sell",$E50&gt;IFERROR(LOOKUP(2,1/($B$1:B49=B50),$O$1:O49),0)),"Sold more units than available","OK"))))</x:f>
      </x:c>
    </x:row>
    <x:row r="51">
      <x:c r="M51" t="str">
        <x:f>IF(COUNTA($A51:$D51)=0,"",IF($G51&lt;&gt;"",$G51,IF(AND($E51&lt;&gt;"",$F51&lt;&gt;""),$E51*$F51,""))*IF($J51&lt;&gt;"",$J51,1))</x:f>
      </x:c>
      <x:c r="N51" t="str">
        <x:f>IF(COUNTA($A51:$D51)=0,"",IF($H51&lt;&gt;"",$H51,0)*IF($J51&lt;&gt;"",$J51,1))</x:f>
      </x:c>
      <x:c r="O51" t="str">
        <x:f>IF(COUNTA($A51:$D51)=0,"",SWITCH(LOWER($D51),"buy",IFERROR(LOOKUP(2,1/($B$1:B50=B51),$O$1:O50),0)+$E51,"drip",IFERROR(LOOKUP(2,1/($B$1:B50=B51),$O$1:O50),0)+$E51,"sell",IFERROR(LOOKUP(2,1/($B$1:B50=B51),$O$1:O50),0)-$E51,"return_of_capital",IFERROR(LOOKUP(2,1/($B$1:B50=B51),$O$1:O50),0),"split",$E51,IFERROR(LOOKUP(2,1/($B$1:B50=B51),$O$1:O50),0)))</x:f>
      </x:c>
      <x:c r="P51" t="str">
        <x:f>IF(COUNTA($A51:$D51)=0,"",SWITCH(LOWER($D51),"buy",IFERROR(LOOKUP(2,1/($B$1:B50=B51),$P$1:P50),0)+$M51+$N51,"drip",IFERROR(LOOKUP(2,1/($B$1:B50=B51),$P$1:P50),0)+$M51+$N51,"sell",IFERROR(LOOKUP(2,1/($B$1:B50=B51),$P$1:P50),0)-IFERROR(IFERROR(LOOKUP(2,1/($B$1:B50=B51),$P$1:P50),0)/IFERROR(LOOKUP(2,1/($B$1:B50=B51),$O$1:O50),0)*$E51,0),"return_of_capital",IFERROR(LOOKUP(2,1/($B$1:B50=B51),$P$1:P50),0)-ABS($M51),"split",IFERROR(LOOKUP(2,1/($B$1:B50=B51),$P$1:P50),0),IFERROR(LOOKUP(2,1/($B$1:B50=B51),$P$1:P50),0)))</x:f>
      </x:c>
      <x:c r="Q51" t="str">
        <x:f>IFERROR($P51/$O51,"")</x:f>
      </x:c>
      <x:c r="R51" t="str">
        <x:f>IF(LOWER($D51)="sell",$M51-$N51-IFERROR(IFERROR(LOOKUP(2,1/($B$1:B50=B51),$P$1:P50),0)/IFERROR(LOOKUP(2,1/($B$1:B50=B51),$O$1:O50),0)*$E51,0),"")</x:f>
      </x:c>
      <x:c r="S51" t="str">
        <x:f>IF(COUNTA($A51:$D51)=0,"",IF($B51="","Missing symbol",IF($D51="","Missing action",IF(AND(LOWER($D51)="sell",$E51&gt;IFERROR(LOOKUP(2,1/($B$1:B50=B51),$O$1:O50),0)),"Sold more units than available","OK"))))</x:f>
      </x:c>
    </x:row>
    <x:row r="52">
      <x:c r="M52" t="str">
        <x:f>IF(COUNTA($A52:$D52)=0,"",IF($G52&lt;&gt;"",$G52,IF(AND($E52&lt;&gt;"",$F52&lt;&gt;""),$E52*$F52,""))*IF($J52&lt;&gt;"",$J52,1))</x:f>
      </x:c>
      <x:c r="N52" t="str">
        <x:f>IF(COUNTA($A52:$D52)=0,"",IF($H52&lt;&gt;"",$H52,0)*IF($J52&lt;&gt;"",$J52,1))</x:f>
      </x:c>
      <x:c r="O52" t="str">
        <x:f>IF(COUNTA($A52:$D52)=0,"",SWITCH(LOWER($D52),"buy",IFERROR(LOOKUP(2,1/($B$1:B51=B52),$O$1:O51),0)+$E52,"drip",IFERROR(LOOKUP(2,1/($B$1:B51=B52),$O$1:O51),0)+$E52,"sell",IFERROR(LOOKUP(2,1/($B$1:B51=B52),$O$1:O51),0)-$E52,"return_of_capital",IFERROR(LOOKUP(2,1/($B$1:B51=B52),$O$1:O51),0),"split",$E52,IFERROR(LOOKUP(2,1/($B$1:B51=B52),$O$1:O51),0)))</x:f>
      </x:c>
      <x:c r="P52" t="str">
        <x:f>IF(COUNTA($A52:$D52)=0,"",SWITCH(LOWER($D52),"buy",IFERROR(LOOKUP(2,1/($B$1:B51=B52),$P$1:P51),0)+$M52+$N52,"drip",IFERROR(LOOKUP(2,1/($B$1:B51=B52),$P$1:P51),0)+$M52+$N52,"sell",IFERROR(LOOKUP(2,1/($B$1:B51=B52),$P$1:P51),0)-IFERROR(IFERROR(LOOKUP(2,1/($B$1:B51=B52),$P$1:P51),0)/IFERROR(LOOKUP(2,1/($B$1:B51=B52),$O$1:O51),0)*$E52,0),"return_of_capital",IFERROR(LOOKUP(2,1/($B$1:B51=B52),$P$1:P51),0)-ABS($M52),"split",IFERROR(LOOKUP(2,1/($B$1:B51=B52),$P$1:P51),0),IFERROR(LOOKUP(2,1/($B$1:B51=B52),$P$1:P51),0)))</x:f>
      </x:c>
      <x:c r="Q52" t="str">
        <x:f>IFERROR($P52/$O52,"")</x:f>
      </x:c>
      <x:c r="R52" t="str">
        <x:f>IF(LOWER($D52)="sell",$M52-$N52-IFERROR(IFERROR(LOOKUP(2,1/($B$1:B51=B52),$P$1:P51),0)/IFERROR(LOOKUP(2,1/($B$1:B51=B52),$O$1:O51),0)*$E52,0),"")</x:f>
      </x:c>
      <x:c r="S52" t="str">
        <x:f>IF(COUNTA($A52:$D52)=0,"",IF($B52="","Missing symbol",IF($D52="","Missing action",IF(AND(LOWER($D52)="sell",$E52&gt;IFERROR(LOOKUP(2,1/($B$1:B51=B52),$O$1:O51),0)),"Sold more units than available","OK"))))</x:f>
      </x:c>
    </x:row>
    <x:row r="53">
      <x:c r="M53" t="str">
        <x:f>IF(COUNTA($A53:$D53)=0,"",IF($G53&lt;&gt;"",$G53,IF(AND($E53&lt;&gt;"",$F53&lt;&gt;""),$E53*$F53,""))*IF($J53&lt;&gt;"",$J53,1))</x:f>
      </x:c>
      <x:c r="N53" t="str">
        <x:f>IF(COUNTA($A53:$D53)=0,"",IF($H53&lt;&gt;"",$H53,0)*IF($J53&lt;&gt;"",$J53,1))</x:f>
      </x:c>
      <x:c r="O53" t="str">
        <x:f>IF(COUNTA($A53:$D53)=0,"",SWITCH(LOWER($D53),"buy",IFERROR(LOOKUP(2,1/($B$1:B52=B53),$O$1:O52),0)+$E53,"drip",IFERROR(LOOKUP(2,1/($B$1:B52=B53),$O$1:O52),0)+$E53,"sell",IFERROR(LOOKUP(2,1/($B$1:B52=B53),$O$1:O52),0)-$E53,"return_of_capital",IFERROR(LOOKUP(2,1/($B$1:B52=B53),$O$1:O52),0),"split",$E53,IFERROR(LOOKUP(2,1/($B$1:B52=B53),$O$1:O52),0)))</x:f>
      </x:c>
      <x:c r="P53" t="str">
        <x:f>IF(COUNTA($A53:$D53)=0,"",SWITCH(LOWER($D53),"buy",IFERROR(LOOKUP(2,1/($B$1:B52=B53),$P$1:P52),0)+$M53+$N53,"drip",IFERROR(LOOKUP(2,1/($B$1:B52=B53),$P$1:P52),0)+$M53+$N53,"sell",IFERROR(LOOKUP(2,1/($B$1:B52=B53),$P$1:P52),0)-IFERROR(IFERROR(LOOKUP(2,1/($B$1:B52=B53),$P$1:P52),0)/IFERROR(LOOKUP(2,1/($B$1:B52=B53),$O$1:O52),0)*$E53,0),"return_of_capital",IFERROR(LOOKUP(2,1/($B$1:B52=B53),$P$1:P52),0)-ABS($M53),"split",IFERROR(LOOKUP(2,1/($B$1:B52=B53),$P$1:P52),0),IFERROR(LOOKUP(2,1/($B$1:B52=B53),$P$1:P52),0)))</x:f>
      </x:c>
      <x:c r="Q53" t="str">
        <x:f>IFERROR($P53/$O53,"")</x:f>
      </x:c>
      <x:c r="R53" t="str">
        <x:f>IF(LOWER($D53)="sell",$M53-$N53-IFERROR(IFERROR(LOOKUP(2,1/($B$1:B52=B53),$P$1:P52),0)/IFERROR(LOOKUP(2,1/($B$1:B52=B53),$O$1:O52),0)*$E53,0),"")</x:f>
      </x:c>
      <x:c r="S53" t="str">
        <x:f>IF(COUNTA($A53:$D53)=0,"",IF($B53="","Missing symbol",IF($D53="","Missing action",IF(AND(LOWER($D53)="sell",$E53&gt;IFERROR(LOOKUP(2,1/($B$1:B52=B53),$O$1:O52),0)),"Sold more units than available","OK"))))</x:f>
      </x:c>
    </x:row>
    <x:row r="54">
      <x:c r="M54" t="str">
        <x:f>IF(COUNTA($A54:$D54)=0,"",IF($G54&lt;&gt;"",$G54,IF(AND($E54&lt;&gt;"",$F54&lt;&gt;""),$E54*$F54,""))*IF($J54&lt;&gt;"",$J54,1))</x:f>
      </x:c>
      <x:c r="N54" t="str">
        <x:f>IF(COUNTA($A54:$D54)=0,"",IF($H54&lt;&gt;"",$H54,0)*IF($J54&lt;&gt;"",$J54,1))</x:f>
      </x:c>
      <x:c r="O54" t="str">
        <x:f>IF(COUNTA($A54:$D54)=0,"",SWITCH(LOWER($D54),"buy",IFERROR(LOOKUP(2,1/($B$1:B53=B54),$O$1:O53),0)+$E54,"drip",IFERROR(LOOKUP(2,1/($B$1:B53=B54),$O$1:O53),0)+$E54,"sell",IFERROR(LOOKUP(2,1/($B$1:B53=B54),$O$1:O53),0)-$E54,"return_of_capital",IFERROR(LOOKUP(2,1/($B$1:B53=B54),$O$1:O53),0),"split",$E54,IFERROR(LOOKUP(2,1/($B$1:B53=B54),$O$1:O53),0)))</x:f>
      </x:c>
      <x:c r="P54" t="str">
        <x:f>IF(COUNTA($A54:$D54)=0,"",SWITCH(LOWER($D54),"buy",IFERROR(LOOKUP(2,1/($B$1:B53=B54),$P$1:P53),0)+$M54+$N54,"drip",IFERROR(LOOKUP(2,1/($B$1:B53=B54),$P$1:P53),0)+$M54+$N54,"sell",IFERROR(LOOKUP(2,1/($B$1:B53=B54),$P$1:P53),0)-IFERROR(IFERROR(LOOKUP(2,1/($B$1:B53=B54),$P$1:P53),0)/IFERROR(LOOKUP(2,1/($B$1:B53=B54),$O$1:O53),0)*$E54,0),"return_of_capital",IFERROR(LOOKUP(2,1/($B$1:B53=B54),$P$1:P53),0)-ABS($M54),"split",IFERROR(LOOKUP(2,1/($B$1:B53=B54),$P$1:P53),0),IFERROR(LOOKUP(2,1/($B$1:B53=B54),$P$1:P53),0)))</x:f>
      </x:c>
      <x:c r="Q54" t="str">
        <x:f>IFERROR($P54/$O54,"")</x:f>
      </x:c>
      <x:c r="R54" t="str">
        <x:f>IF(LOWER($D54)="sell",$M54-$N54-IFERROR(IFERROR(LOOKUP(2,1/($B$1:B53=B54),$P$1:P53),0)/IFERROR(LOOKUP(2,1/($B$1:B53=B54),$O$1:O53),0)*$E54,0),"")</x:f>
      </x:c>
      <x:c r="S54" t="str">
        <x:f>IF(COUNTA($A54:$D54)=0,"",IF($B54="","Missing symbol",IF($D54="","Missing action",IF(AND(LOWER($D54)="sell",$E54&gt;IFERROR(LOOKUP(2,1/($B$1:B53=B54),$O$1:O53),0)),"Sold more units than available","OK"))))</x:f>
      </x:c>
    </x:row>
    <x:row r="55">
      <x:c r="M55" t="str">
        <x:f>IF(COUNTA($A55:$D55)=0,"",IF($G55&lt;&gt;"",$G55,IF(AND($E55&lt;&gt;"",$F55&lt;&gt;""),$E55*$F55,""))*IF($J55&lt;&gt;"",$J55,1))</x:f>
      </x:c>
      <x:c r="N55" t="str">
        <x:f>IF(COUNTA($A55:$D55)=0,"",IF($H55&lt;&gt;"",$H55,0)*IF($J55&lt;&gt;"",$J55,1))</x:f>
      </x:c>
      <x:c r="O55" t="str">
        <x:f>IF(COUNTA($A55:$D55)=0,"",SWITCH(LOWER($D55),"buy",IFERROR(LOOKUP(2,1/($B$1:B54=B55),$O$1:O54),0)+$E55,"drip",IFERROR(LOOKUP(2,1/($B$1:B54=B55),$O$1:O54),0)+$E55,"sell",IFERROR(LOOKUP(2,1/($B$1:B54=B55),$O$1:O54),0)-$E55,"return_of_capital",IFERROR(LOOKUP(2,1/($B$1:B54=B55),$O$1:O54),0),"split",$E55,IFERROR(LOOKUP(2,1/($B$1:B54=B55),$O$1:O54),0)))</x:f>
      </x:c>
      <x:c r="P55" t="str">
        <x:f>IF(COUNTA($A55:$D55)=0,"",SWITCH(LOWER($D55),"buy",IFERROR(LOOKUP(2,1/($B$1:B54=B55),$P$1:P54),0)+$M55+$N55,"drip",IFERROR(LOOKUP(2,1/($B$1:B54=B55),$P$1:P54),0)+$M55+$N55,"sell",IFERROR(LOOKUP(2,1/($B$1:B54=B55),$P$1:P54),0)-IFERROR(IFERROR(LOOKUP(2,1/($B$1:B54=B55),$P$1:P54),0)/IFERROR(LOOKUP(2,1/($B$1:B54=B55),$O$1:O54),0)*$E55,0),"return_of_capital",IFERROR(LOOKUP(2,1/($B$1:B54=B55),$P$1:P54),0)-ABS($M55),"split",IFERROR(LOOKUP(2,1/($B$1:B54=B55),$P$1:P54),0),IFERROR(LOOKUP(2,1/($B$1:B54=B55),$P$1:P54),0)))</x:f>
      </x:c>
      <x:c r="Q55" t="str">
        <x:f>IFERROR($P55/$O55,"")</x:f>
      </x:c>
      <x:c r="R55" t="str">
        <x:f>IF(LOWER($D55)="sell",$M55-$N55-IFERROR(IFERROR(LOOKUP(2,1/($B$1:B54=B55),$P$1:P54),0)/IFERROR(LOOKUP(2,1/($B$1:B54=B55),$O$1:O54),0)*$E55,0),"")</x:f>
      </x:c>
      <x:c r="S55" t="str">
        <x:f>IF(COUNTA($A55:$D55)=0,"",IF($B55="","Missing symbol",IF($D55="","Missing action",IF(AND(LOWER($D55)="sell",$E55&gt;IFERROR(LOOKUP(2,1/($B$1:B54=B55),$O$1:O54),0)),"Sold more units than available","OK"))))</x:f>
      </x:c>
    </x:row>
    <x:row r="56">
      <x:c r="M56" t="str">
        <x:f>IF(COUNTA($A56:$D56)=0,"",IF($G56&lt;&gt;"",$G56,IF(AND($E56&lt;&gt;"",$F56&lt;&gt;""),$E56*$F56,""))*IF($J56&lt;&gt;"",$J56,1))</x:f>
      </x:c>
      <x:c r="N56" t="str">
        <x:f>IF(COUNTA($A56:$D56)=0,"",IF($H56&lt;&gt;"",$H56,0)*IF($J56&lt;&gt;"",$J56,1))</x:f>
      </x:c>
      <x:c r="O56" t="str">
        <x:f>IF(COUNTA($A56:$D56)=0,"",SWITCH(LOWER($D56),"buy",IFERROR(LOOKUP(2,1/($B$1:B55=B56),$O$1:O55),0)+$E56,"drip",IFERROR(LOOKUP(2,1/($B$1:B55=B56),$O$1:O55),0)+$E56,"sell",IFERROR(LOOKUP(2,1/($B$1:B55=B56),$O$1:O55),0)-$E56,"return_of_capital",IFERROR(LOOKUP(2,1/($B$1:B55=B56),$O$1:O55),0),"split",$E56,IFERROR(LOOKUP(2,1/($B$1:B55=B56),$O$1:O55),0)))</x:f>
      </x:c>
      <x:c r="P56" t="str">
        <x:f>IF(COUNTA($A56:$D56)=0,"",SWITCH(LOWER($D56),"buy",IFERROR(LOOKUP(2,1/($B$1:B55=B56),$P$1:P55),0)+$M56+$N56,"drip",IFERROR(LOOKUP(2,1/($B$1:B55=B56),$P$1:P55),0)+$M56+$N56,"sell",IFERROR(LOOKUP(2,1/($B$1:B55=B56),$P$1:P55),0)-IFERROR(IFERROR(LOOKUP(2,1/($B$1:B55=B56),$P$1:P55),0)/IFERROR(LOOKUP(2,1/($B$1:B55=B56),$O$1:O55),0)*$E56,0),"return_of_capital",IFERROR(LOOKUP(2,1/($B$1:B55=B56),$P$1:P55),0)-ABS($M56),"split",IFERROR(LOOKUP(2,1/($B$1:B55=B56),$P$1:P55),0),IFERROR(LOOKUP(2,1/($B$1:B55=B56),$P$1:P55),0)))</x:f>
      </x:c>
      <x:c r="Q56" t="str">
        <x:f>IFERROR($P56/$O56,"")</x:f>
      </x:c>
      <x:c r="R56" t="str">
        <x:f>IF(LOWER($D56)="sell",$M56-$N56-IFERROR(IFERROR(LOOKUP(2,1/($B$1:B55=B56),$P$1:P55),0)/IFERROR(LOOKUP(2,1/($B$1:B55=B56),$O$1:O55),0)*$E56,0),"")</x:f>
      </x:c>
      <x:c r="S56" t="str">
        <x:f>IF(COUNTA($A56:$D56)=0,"",IF($B56="","Missing symbol",IF($D56="","Missing action",IF(AND(LOWER($D56)="sell",$E56&gt;IFERROR(LOOKUP(2,1/($B$1:B55=B56),$O$1:O55),0)),"Sold more units than available","OK"))))</x:f>
      </x:c>
    </x:row>
    <x:row r="57">
      <x:c r="M57" t="str">
        <x:f>IF(COUNTA($A57:$D57)=0,"",IF($G57&lt;&gt;"",$G57,IF(AND($E57&lt;&gt;"",$F57&lt;&gt;""),$E57*$F57,""))*IF($J57&lt;&gt;"",$J57,1))</x:f>
      </x:c>
      <x:c r="N57" t="str">
        <x:f>IF(COUNTA($A57:$D57)=0,"",IF($H57&lt;&gt;"",$H57,0)*IF($J57&lt;&gt;"",$J57,1))</x:f>
      </x:c>
      <x:c r="O57" t="str">
        <x:f>IF(COUNTA($A57:$D57)=0,"",SWITCH(LOWER($D57),"buy",IFERROR(LOOKUP(2,1/($B$1:B56=B57),$O$1:O56),0)+$E57,"drip",IFERROR(LOOKUP(2,1/($B$1:B56=B57),$O$1:O56),0)+$E57,"sell",IFERROR(LOOKUP(2,1/($B$1:B56=B57),$O$1:O56),0)-$E57,"return_of_capital",IFERROR(LOOKUP(2,1/($B$1:B56=B57),$O$1:O56),0),"split",$E57,IFERROR(LOOKUP(2,1/($B$1:B56=B57),$O$1:O56),0)))</x:f>
      </x:c>
      <x:c r="P57" t="str">
        <x:f>IF(COUNTA($A57:$D57)=0,"",SWITCH(LOWER($D57),"buy",IFERROR(LOOKUP(2,1/($B$1:B56=B57),$P$1:P56),0)+$M57+$N57,"drip",IFERROR(LOOKUP(2,1/($B$1:B56=B57),$P$1:P56),0)+$M57+$N57,"sell",IFERROR(LOOKUP(2,1/($B$1:B56=B57),$P$1:P56),0)-IFERROR(IFERROR(LOOKUP(2,1/($B$1:B56=B57),$P$1:P56),0)/IFERROR(LOOKUP(2,1/($B$1:B56=B57),$O$1:O56),0)*$E57,0),"return_of_capital",IFERROR(LOOKUP(2,1/($B$1:B56=B57),$P$1:P56),0)-ABS($M57),"split",IFERROR(LOOKUP(2,1/($B$1:B56=B57),$P$1:P56),0),IFERROR(LOOKUP(2,1/($B$1:B56=B57),$P$1:P56),0)))</x:f>
      </x:c>
      <x:c r="Q57" t="str">
        <x:f>IFERROR($P57/$O57,"")</x:f>
      </x:c>
      <x:c r="R57" t="str">
        <x:f>IF(LOWER($D57)="sell",$M57-$N57-IFERROR(IFERROR(LOOKUP(2,1/($B$1:B56=B57),$P$1:P56),0)/IFERROR(LOOKUP(2,1/($B$1:B56=B57),$O$1:O56),0)*$E57,0),"")</x:f>
      </x:c>
      <x:c r="S57" t="str">
        <x:f>IF(COUNTA($A57:$D57)=0,"",IF($B57="","Missing symbol",IF($D57="","Missing action",IF(AND(LOWER($D57)="sell",$E57&gt;IFERROR(LOOKUP(2,1/($B$1:B56=B57),$O$1:O56),0)),"Sold more units than available","OK"))))</x:f>
      </x:c>
    </x:row>
    <x:row r="58">
      <x:c r="M58" t="str">
        <x:f>IF(COUNTA($A58:$D58)=0,"",IF($G58&lt;&gt;"",$G58,IF(AND($E58&lt;&gt;"",$F58&lt;&gt;""),$E58*$F58,""))*IF($J58&lt;&gt;"",$J58,1))</x:f>
      </x:c>
      <x:c r="N58" t="str">
        <x:f>IF(COUNTA($A58:$D58)=0,"",IF($H58&lt;&gt;"",$H58,0)*IF($J58&lt;&gt;"",$J58,1))</x:f>
      </x:c>
      <x:c r="O58" t="str">
        <x:f>IF(COUNTA($A58:$D58)=0,"",SWITCH(LOWER($D58),"buy",IFERROR(LOOKUP(2,1/($B$1:B57=B58),$O$1:O57),0)+$E58,"drip",IFERROR(LOOKUP(2,1/($B$1:B57=B58),$O$1:O57),0)+$E58,"sell",IFERROR(LOOKUP(2,1/($B$1:B57=B58),$O$1:O57),0)-$E58,"return_of_capital",IFERROR(LOOKUP(2,1/($B$1:B57=B58),$O$1:O57),0),"split",$E58,IFERROR(LOOKUP(2,1/($B$1:B57=B58),$O$1:O57),0)))</x:f>
      </x:c>
      <x:c r="P58" t="str">
        <x:f>IF(COUNTA($A58:$D58)=0,"",SWITCH(LOWER($D58),"buy",IFERROR(LOOKUP(2,1/($B$1:B57=B58),$P$1:P57),0)+$M58+$N58,"drip",IFERROR(LOOKUP(2,1/($B$1:B57=B58),$P$1:P57),0)+$M58+$N58,"sell",IFERROR(LOOKUP(2,1/($B$1:B57=B58),$P$1:P57),0)-IFERROR(IFERROR(LOOKUP(2,1/($B$1:B57=B58),$P$1:P57),0)/IFERROR(LOOKUP(2,1/($B$1:B57=B58),$O$1:O57),0)*$E58,0),"return_of_capital",IFERROR(LOOKUP(2,1/($B$1:B57=B58),$P$1:P57),0)-ABS($M58),"split",IFERROR(LOOKUP(2,1/($B$1:B57=B58),$P$1:P57),0),IFERROR(LOOKUP(2,1/($B$1:B57=B58),$P$1:P57),0)))</x:f>
      </x:c>
      <x:c r="Q58" t="str">
        <x:f>IFERROR($P58/$O58,"")</x:f>
      </x:c>
      <x:c r="R58" t="str">
        <x:f>IF(LOWER($D58)="sell",$M58-$N58-IFERROR(IFERROR(LOOKUP(2,1/($B$1:B57=B58),$P$1:P57),0)/IFERROR(LOOKUP(2,1/($B$1:B57=B58),$O$1:O57),0)*$E58,0),"")</x:f>
      </x:c>
      <x:c r="S58" t="str">
        <x:f>IF(COUNTA($A58:$D58)=0,"",IF($B58="","Missing symbol",IF($D58="","Missing action",IF(AND(LOWER($D58)="sell",$E58&gt;IFERROR(LOOKUP(2,1/($B$1:B57=B58),$O$1:O57),0)),"Sold more units than available","OK"))))</x:f>
      </x:c>
    </x:row>
    <x:row r="59">
      <x:c r="M59" t="str">
        <x:f>IF(COUNTA($A59:$D59)=0,"",IF($G59&lt;&gt;"",$G59,IF(AND($E59&lt;&gt;"",$F59&lt;&gt;""),$E59*$F59,""))*IF($J59&lt;&gt;"",$J59,1))</x:f>
      </x:c>
      <x:c r="N59" t="str">
        <x:f>IF(COUNTA($A59:$D59)=0,"",IF($H59&lt;&gt;"",$H59,0)*IF($J59&lt;&gt;"",$J59,1))</x:f>
      </x:c>
      <x:c r="O59" t="str">
        <x:f>IF(COUNTA($A59:$D59)=0,"",SWITCH(LOWER($D59),"buy",IFERROR(LOOKUP(2,1/($B$1:B58=B59),$O$1:O58),0)+$E59,"drip",IFERROR(LOOKUP(2,1/($B$1:B58=B59),$O$1:O58),0)+$E59,"sell",IFERROR(LOOKUP(2,1/($B$1:B58=B59),$O$1:O58),0)-$E59,"return_of_capital",IFERROR(LOOKUP(2,1/($B$1:B58=B59),$O$1:O58),0),"split",$E59,IFERROR(LOOKUP(2,1/($B$1:B58=B59),$O$1:O58),0)))</x:f>
      </x:c>
      <x:c r="P59" t="str">
        <x:f>IF(COUNTA($A59:$D59)=0,"",SWITCH(LOWER($D59),"buy",IFERROR(LOOKUP(2,1/($B$1:B58=B59),$P$1:P58),0)+$M59+$N59,"drip",IFERROR(LOOKUP(2,1/($B$1:B58=B59),$P$1:P58),0)+$M59+$N59,"sell",IFERROR(LOOKUP(2,1/($B$1:B58=B59),$P$1:P58),0)-IFERROR(IFERROR(LOOKUP(2,1/($B$1:B58=B59),$P$1:P58),0)/IFERROR(LOOKUP(2,1/($B$1:B58=B59),$O$1:O58),0)*$E59,0),"return_of_capital",IFERROR(LOOKUP(2,1/($B$1:B58=B59),$P$1:P58),0)-ABS($M59),"split",IFERROR(LOOKUP(2,1/($B$1:B58=B59),$P$1:P58),0),IFERROR(LOOKUP(2,1/($B$1:B58=B59),$P$1:P58),0)))</x:f>
      </x:c>
      <x:c r="Q59" t="str">
        <x:f>IFERROR($P59/$O59,"")</x:f>
      </x:c>
      <x:c r="R59" t="str">
        <x:f>IF(LOWER($D59)="sell",$M59-$N59-IFERROR(IFERROR(LOOKUP(2,1/($B$1:B58=B59),$P$1:P58),0)/IFERROR(LOOKUP(2,1/($B$1:B58=B59),$O$1:O58),0)*$E59,0),"")</x:f>
      </x:c>
      <x:c r="S59" t="str">
        <x:f>IF(COUNTA($A59:$D59)=0,"",IF($B59="","Missing symbol",IF($D59="","Missing action",IF(AND(LOWER($D59)="sell",$E59&gt;IFERROR(LOOKUP(2,1/($B$1:B58=B59),$O$1:O58),0)),"Sold more units than available","OK"))))</x:f>
      </x:c>
    </x:row>
    <x:row r="60">
      <x:c r="M60" t="str">
        <x:f>IF(COUNTA($A60:$D60)=0,"",IF($G60&lt;&gt;"",$G60,IF(AND($E60&lt;&gt;"",$F60&lt;&gt;""),$E60*$F60,""))*IF($J60&lt;&gt;"",$J60,1))</x:f>
      </x:c>
      <x:c r="N60" t="str">
        <x:f>IF(COUNTA($A60:$D60)=0,"",IF($H60&lt;&gt;"",$H60,0)*IF($J60&lt;&gt;"",$J60,1))</x:f>
      </x:c>
      <x:c r="O60" t="str">
        <x:f>IF(COUNTA($A60:$D60)=0,"",SWITCH(LOWER($D60),"buy",IFERROR(LOOKUP(2,1/($B$1:B59=B60),$O$1:O59),0)+$E60,"drip",IFERROR(LOOKUP(2,1/($B$1:B59=B60),$O$1:O59),0)+$E60,"sell",IFERROR(LOOKUP(2,1/($B$1:B59=B60),$O$1:O59),0)-$E60,"return_of_capital",IFERROR(LOOKUP(2,1/($B$1:B59=B60),$O$1:O59),0),"split",$E60,IFERROR(LOOKUP(2,1/($B$1:B59=B60),$O$1:O59),0)))</x:f>
      </x:c>
      <x:c r="P60" t="str">
        <x:f>IF(COUNTA($A60:$D60)=0,"",SWITCH(LOWER($D60),"buy",IFERROR(LOOKUP(2,1/($B$1:B59=B60),$P$1:P59),0)+$M60+$N60,"drip",IFERROR(LOOKUP(2,1/($B$1:B59=B60),$P$1:P59),0)+$M60+$N60,"sell",IFERROR(LOOKUP(2,1/($B$1:B59=B60),$P$1:P59),0)-IFERROR(IFERROR(LOOKUP(2,1/($B$1:B59=B60),$P$1:P59),0)/IFERROR(LOOKUP(2,1/($B$1:B59=B60),$O$1:O59),0)*$E60,0),"return_of_capital",IFERROR(LOOKUP(2,1/($B$1:B59=B60),$P$1:P59),0)-ABS($M60),"split",IFERROR(LOOKUP(2,1/($B$1:B59=B60),$P$1:P59),0),IFERROR(LOOKUP(2,1/($B$1:B59=B60),$P$1:P59),0)))</x:f>
      </x:c>
      <x:c r="Q60" t="str">
        <x:f>IFERROR($P60/$O60,"")</x:f>
      </x:c>
      <x:c r="R60" t="str">
        <x:f>IF(LOWER($D60)="sell",$M60-$N60-IFERROR(IFERROR(LOOKUP(2,1/($B$1:B59=B60),$P$1:P59),0)/IFERROR(LOOKUP(2,1/($B$1:B59=B60),$O$1:O59),0)*$E60,0),"")</x:f>
      </x:c>
      <x:c r="S60" t="str">
        <x:f>IF(COUNTA($A60:$D60)=0,"",IF($B60="","Missing symbol",IF($D60="","Missing action",IF(AND(LOWER($D60)="sell",$E60&gt;IFERROR(LOOKUP(2,1/($B$1:B59=B60),$O$1:O59),0)),"Sold more units than available","OK"))))</x:f>
      </x:c>
    </x:row>
    <x:row r="61">
      <x:c r="M61" t="str">
        <x:f>IF(COUNTA($A61:$D61)=0,"",IF($G61&lt;&gt;"",$G61,IF(AND($E61&lt;&gt;"",$F61&lt;&gt;""),$E61*$F61,""))*IF($J61&lt;&gt;"",$J61,1))</x:f>
      </x:c>
      <x:c r="N61" t="str">
        <x:f>IF(COUNTA($A61:$D61)=0,"",IF($H61&lt;&gt;"",$H61,0)*IF($J61&lt;&gt;"",$J61,1))</x:f>
      </x:c>
      <x:c r="O61" t="str">
        <x:f>IF(COUNTA($A61:$D61)=0,"",SWITCH(LOWER($D61),"buy",IFERROR(LOOKUP(2,1/($B$1:B60=B61),$O$1:O60),0)+$E61,"drip",IFERROR(LOOKUP(2,1/($B$1:B60=B61),$O$1:O60),0)+$E61,"sell",IFERROR(LOOKUP(2,1/($B$1:B60=B61),$O$1:O60),0)-$E61,"return_of_capital",IFERROR(LOOKUP(2,1/($B$1:B60=B61),$O$1:O60),0),"split",$E61,IFERROR(LOOKUP(2,1/($B$1:B60=B61),$O$1:O60),0)))</x:f>
      </x:c>
      <x:c r="P61" t="str">
        <x:f>IF(COUNTA($A61:$D61)=0,"",SWITCH(LOWER($D61),"buy",IFERROR(LOOKUP(2,1/($B$1:B60=B61),$P$1:P60),0)+$M61+$N61,"drip",IFERROR(LOOKUP(2,1/($B$1:B60=B61),$P$1:P60),0)+$M61+$N61,"sell",IFERROR(LOOKUP(2,1/($B$1:B60=B61),$P$1:P60),0)-IFERROR(IFERROR(LOOKUP(2,1/($B$1:B60=B61),$P$1:P60),0)/IFERROR(LOOKUP(2,1/($B$1:B60=B61),$O$1:O60),0)*$E61,0),"return_of_capital",IFERROR(LOOKUP(2,1/($B$1:B60=B61),$P$1:P60),0)-ABS($M61),"split",IFERROR(LOOKUP(2,1/($B$1:B60=B61),$P$1:P60),0),IFERROR(LOOKUP(2,1/($B$1:B60=B61),$P$1:P60),0)))</x:f>
      </x:c>
      <x:c r="Q61" t="str">
        <x:f>IFERROR($P61/$O61,"")</x:f>
      </x:c>
      <x:c r="R61" t="str">
        <x:f>IF(LOWER($D61)="sell",$M61-$N61-IFERROR(IFERROR(LOOKUP(2,1/($B$1:B60=B61),$P$1:P60),0)/IFERROR(LOOKUP(2,1/($B$1:B60=B61),$O$1:O60),0)*$E61,0),"")</x:f>
      </x:c>
      <x:c r="S61" t="str">
        <x:f>IF(COUNTA($A61:$D61)=0,"",IF($B61="","Missing symbol",IF($D61="","Missing action",IF(AND(LOWER($D61)="sell",$E61&gt;IFERROR(LOOKUP(2,1/($B$1:B60=B61),$O$1:O60),0)),"Sold more units than available","OK"))))</x:f>
      </x:c>
    </x:row>
    <x:row r="62">
      <x:c r="M62" t="str">
        <x:f>IF(COUNTA($A62:$D62)=0,"",IF($G62&lt;&gt;"",$G62,IF(AND($E62&lt;&gt;"",$F62&lt;&gt;""),$E62*$F62,""))*IF($J62&lt;&gt;"",$J62,1))</x:f>
      </x:c>
      <x:c r="N62" t="str">
        <x:f>IF(COUNTA($A62:$D62)=0,"",IF($H62&lt;&gt;"",$H62,0)*IF($J62&lt;&gt;"",$J62,1))</x:f>
      </x:c>
      <x:c r="O62" t="str">
        <x:f>IF(COUNTA($A62:$D62)=0,"",SWITCH(LOWER($D62),"buy",IFERROR(LOOKUP(2,1/($B$1:B61=B62),$O$1:O61),0)+$E62,"drip",IFERROR(LOOKUP(2,1/($B$1:B61=B62),$O$1:O61),0)+$E62,"sell",IFERROR(LOOKUP(2,1/($B$1:B61=B62),$O$1:O61),0)-$E62,"return_of_capital",IFERROR(LOOKUP(2,1/($B$1:B61=B62),$O$1:O61),0),"split",$E62,IFERROR(LOOKUP(2,1/($B$1:B61=B62),$O$1:O61),0)))</x:f>
      </x:c>
      <x:c r="P62" t="str">
        <x:f>IF(COUNTA($A62:$D62)=0,"",SWITCH(LOWER($D62),"buy",IFERROR(LOOKUP(2,1/($B$1:B61=B62),$P$1:P61),0)+$M62+$N62,"drip",IFERROR(LOOKUP(2,1/($B$1:B61=B62),$P$1:P61),0)+$M62+$N62,"sell",IFERROR(LOOKUP(2,1/($B$1:B61=B62),$P$1:P61),0)-IFERROR(IFERROR(LOOKUP(2,1/($B$1:B61=B62),$P$1:P61),0)/IFERROR(LOOKUP(2,1/($B$1:B61=B62),$O$1:O61),0)*$E62,0),"return_of_capital",IFERROR(LOOKUP(2,1/($B$1:B61=B62),$P$1:P61),0)-ABS($M62),"split",IFERROR(LOOKUP(2,1/($B$1:B61=B62),$P$1:P61),0),IFERROR(LOOKUP(2,1/($B$1:B61=B62),$P$1:P61),0)))</x:f>
      </x:c>
      <x:c r="Q62" t="str">
        <x:f>IFERROR($P62/$O62,"")</x:f>
      </x:c>
      <x:c r="R62" t="str">
        <x:f>IF(LOWER($D62)="sell",$M62-$N62-IFERROR(IFERROR(LOOKUP(2,1/($B$1:B61=B62),$P$1:P61),0)/IFERROR(LOOKUP(2,1/($B$1:B61=B62),$O$1:O61),0)*$E62,0),"")</x:f>
      </x:c>
      <x:c r="S62" t="str">
        <x:f>IF(COUNTA($A62:$D62)=0,"",IF($B62="","Missing symbol",IF($D62="","Missing action",IF(AND(LOWER($D62)="sell",$E62&gt;IFERROR(LOOKUP(2,1/($B$1:B61=B62),$O$1:O61),0)),"Sold more units than available","OK"))))</x:f>
      </x:c>
    </x:row>
    <x:row r="63">
      <x:c r="M63" t="str">
        <x:f>IF(COUNTA($A63:$D63)=0,"",IF($G63&lt;&gt;"",$G63,IF(AND($E63&lt;&gt;"",$F63&lt;&gt;""),$E63*$F63,""))*IF($J63&lt;&gt;"",$J63,1))</x:f>
      </x:c>
      <x:c r="N63" t="str">
        <x:f>IF(COUNTA($A63:$D63)=0,"",IF($H63&lt;&gt;"",$H63,0)*IF($J63&lt;&gt;"",$J63,1))</x:f>
      </x:c>
      <x:c r="O63" t="str">
        <x:f>IF(COUNTA($A63:$D63)=0,"",SWITCH(LOWER($D63),"buy",IFERROR(LOOKUP(2,1/($B$1:B62=B63),$O$1:O62),0)+$E63,"drip",IFERROR(LOOKUP(2,1/($B$1:B62=B63),$O$1:O62),0)+$E63,"sell",IFERROR(LOOKUP(2,1/($B$1:B62=B63),$O$1:O62),0)-$E63,"return_of_capital",IFERROR(LOOKUP(2,1/($B$1:B62=B63),$O$1:O62),0),"split",$E63,IFERROR(LOOKUP(2,1/($B$1:B62=B63),$O$1:O62),0)))</x:f>
      </x:c>
      <x:c r="P63" t="str">
        <x:f>IF(COUNTA($A63:$D63)=0,"",SWITCH(LOWER($D63),"buy",IFERROR(LOOKUP(2,1/($B$1:B62=B63),$P$1:P62),0)+$M63+$N63,"drip",IFERROR(LOOKUP(2,1/($B$1:B62=B63),$P$1:P62),0)+$M63+$N63,"sell",IFERROR(LOOKUP(2,1/($B$1:B62=B63),$P$1:P62),0)-IFERROR(IFERROR(LOOKUP(2,1/($B$1:B62=B63),$P$1:P62),0)/IFERROR(LOOKUP(2,1/($B$1:B62=B63),$O$1:O62),0)*$E63,0),"return_of_capital",IFERROR(LOOKUP(2,1/($B$1:B62=B63),$P$1:P62),0)-ABS($M63),"split",IFERROR(LOOKUP(2,1/($B$1:B62=B63),$P$1:P62),0),IFERROR(LOOKUP(2,1/($B$1:B62=B63),$P$1:P62),0)))</x:f>
      </x:c>
      <x:c r="Q63" t="str">
        <x:f>IFERROR($P63/$O63,"")</x:f>
      </x:c>
      <x:c r="R63" t="str">
        <x:f>IF(LOWER($D63)="sell",$M63-$N63-IFERROR(IFERROR(LOOKUP(2,1/($B$1:B62=B63),$P$1:P62),0)/IFERROR(LOOKUP(2,1/($B$1:B62=B63),$O$1:O62),0)*$E63,0),"")</x:f>
      </x:c>
      <x:c r="S63" t="str">
        <x:f>IF(COUNTA($A63:$D63)=0,"",IF($B63="","Missing symbol",IF($D63="","Missing action",IF(AND(LOWER($D63)="sell",$E63&gt;IFERROR(LOOKUP(2,1/($B$1:B62=B63),$O$1:O62),0)),"Sold more units than available","OK"))))</x:f>
      </x:c>
    </x:row>
    <x:row r="64">
      <x:c r="M64" t="str">
        <x:f>IF(COUNTA($A64:$D64)=0,"",IF($G64&lt;&gt;"",$G64,IF(AND($E64&lt;&gt;"",$F64&lt;&gt;""),$E64*$F64,""))*IF($J64&lt;&gt;"",$J64,1))</x:f>
      </x:c>
      <x:c r="N64" t="str">
        <x:f>IF(COUNTA($A64:$D64)=0,"",IF($H64&lt;&gt;"",$H64,0)*IF($J64&lt;&gt;"",$J64,1))</x:f>
      </x:c>
      <x:c r="O64" t="str">
        <x:f>IF(COUNTA($A64:$D64)=0,"",SWITCH(LOWER($D64),"buy",IFERROR(LOOKUP(2,1/($B$1:B63=B64),$O$1:O63),0)+$E64,"drip",IFERROR(LOOKUP(2,1/($B$1:B63=B64),$O$1:O63),0)+$E64,"sell",IFERROR(LOOKUP(2,1/($B$1:B63=B64),$O$1:O63),0)-$E64,"return_of_capital",IFERROR(LOOKUP(2,1/($B$1:B63=B64),$O$1:O63),0),"split",$E64,IFERROR(LOOKUP(2,1/($B$1:B63=B64),$O$1:O63),0)))</x:f>
      </x:c>
      <x:c r="P64" t="str">
        <x:f>IF(COUNTA($A64:$D64)=0,"",SWITCH(LOWER($D64),"buy",IFERROR(LOOKUP(2,1/($B$1:B63=B64),$P$1:P63),0)+$M64+$N64,"drip",IFERROR(LOOKUP(2,1/($B$1:B63=B64),$P$1:P63),0)+$M64+$N64,"sell",IFERROR(LOOKUP(2,1/($B$1:B63=B64),$P$1:P63),0)-IFERROR(IFERROR(LOOKUP(2,1/($B$1:B63=B64),$P$1:P63),0)/IFERROR(LOOKUP(2,1/($B$1:B63=B64),$O$1:O63),0)*$E64,0),"return_of_capital",IFERROR(LOOKUP(2,1/($B$1:B63=B64),$P$1:P63),0)-ABS($M64),"split",IFERROR(LOOKUP(2,1/($B$1:B63=B64),$P$1:P63),0),IFERROR(LOOKUP(2,1/($B$1:B63=B64),$P$1:P63),0)))</x:f>
      </x:c>
      <x:c r="Q64" t="str">
        <x:f>IFERROR($P64/$O64,"")</x:f>
      </x:c>
      <x:c r="R64" t="str">
        <x:f>IF(LOWER($D64)="sell",$M64-$N64-IFERROR(IFERROR(LOOKUP(2,1/($B$1:B63=B64),$P$1:P63),0)/IFERROR(LOOKUP(2,1/($B$1:B63=B64),$O$1:O63),0)*$E64,0),"")</x:f>
      </x:c>
      <x:c r="S64" t="str">
        <x:f>IF(COUNTA($A64:$D64)=0,"",IF($B64="","Missing symbol",IF($D64="","Missing action",IF(AND(LOWER($D64)="sell",$E64&gt;IFERROR(LOOKUP(2,1/($B$1:B63=B64),$O$1:O63),0)),"Sold more units than available","OK"))))</x:f>
      </x:c>
    </x:row>
    <x:row r="65">
      <x:c r="M65" t="str">
        <x:f>IF(COUNTA($A65:$D65)=0,"",IF($G65&lt;&gt;"",$G65,IF(AND($E65&lt;&gt;"",$F65&lt;&gt;""),$E65*$F65,""))*IF($J65&lt;&gt;"",$J65,1))</x:f>
      </x:c>
      <x:c r="N65" t="str">
        <x:f>IF(COUNTA($A65:$D65)=0,"",IF($H65&lt;&gt;"",$H65,0)*IF($J65&lt;&gt;"",$J65,1))</x:f>
      </x:c>
      <x:c r="O65" t="str">
        <x:f>IF(COUNTA($A65:$D65)=0,"",SWITCH(LOWER($D65),"buy",IFERROR(LOOKUP(2,1/($B$1:B64=B65),$O$1:O64),0)+$E65,"drip",IFERROR(LOOKUP(2,1/($B$1:B64=B65),$O$1:O64),0)+$E65,"sell",IFERROR(LOOKUP(2,1/($B$1:B64=B65),$O$1:O64),0)-$E65,"return_of_capital",IFERROR(LOOKUP(2,1/($B$1:B64=B65),$O$1:O64),0),"split",$E65,IFERROR(LOOKUP(2,1/($B$1:B64=B65),$O$1:O64),0)))</x:f>
      </x:c>
      <x:c r="P65" t="str">
        <x:f>IF(COUNTA($A65:$D65)=0,"",SWITCH(LOWER($D65),"buy",IFERROR(LOOKUP(2,1/($B$1:B64=B65),$P$1:P64),0)+$M65+$N65,"drip",IFERROR(LOOKUP(2,1/($B$1:B64=B65),$P$1:P64),0)+$M65+$N65,"sell",IFERROR(LOOKUP(2,1/($B$1:B64=B65),$P$1:P64),0)-IFERROR(IFERROR(LOOKUP(2,1/($B$1:B64=B65),$P$1:P64),0)/IFERROR(LOOKUP(2,1/($B$1:B64=B65),$O$1:O64),0)*$E65,0),"return_of_capital",IFERROR(LOOKUP(2,1/($B$1:B64=B65),$P$1:P64),0)-ABS($M65),"split",IFERROR(LOOKUP(2,1/($B$1:B64=B65),$P$1:P64),0),IFERROR(LOOKUP(2,1/($B$1:B64=B65),$P$1:P64),0)))</x:f>
      </x:c>
      <x:c r="Q65" t="str">
        <x:f>IFERROR($P65/$O65,"")</x:f>
      </x:c>
      <x:c r="R65" t="str">
        <x:f>IF(LOWER($D65)="sell",$M65-$N65-IFERROR(IFERROR(LOOKUP(2,1/($B$1:B64=B65),$P$1:P64),0)/IFERROR(LOOKUP(2,1/($B$1:B64=B65),$O$1:O64),0)*$E65,0),"")</x:f>
      </x:c>
      <x:c r="S65" t="str">
        <x:f>IF(COUNTA($A65:$D65)=0,"",IF($B65="","Missing symbol",IF($D65="","Missing action",IF(AND(LOWER($D65)="sell",$E65&gt;IFERROR(LOOKUP(2,1/($B$1:B64=B65),$O$1:O64),0)),"Sold more units than available","OK"))))</x:f>
      </x:c>
    </x:row>
    <x:row r="66">
      <x:c r="M66" t="str">
        <x:f>IF(COUNTA($A66:$D66)=0,"",IF($G66&lt;&gt;"",$G66,IF(AND($E66&lt;&gt;"",$F66&lt;&gt;""),$E66*$F66,""))*IF($J66&lt;&gt;"",$J66,1))</x:f>
      </x:c>
      <x:c r="N66" t="str">
        <x:f>IF(COUNTA($A66:$D66)=0,"",IF($H66&lt;&gt;"",$H66,0)*IF($J66&lt;&gt;"",$J66,1))</x:f>
      </x:c>
      <x:c r="O66" t="str">
        <x:f>IF(COUNTA($A66:$D66)=0,"",SWITCH(LOWER($D66),"buy",IFERROR(LOOKUP(2,1/($B$1:B65=B66),$O$1:O65),0)+$E66,"drip",IFERROR(LOOKUP(2,1/($B$1:B65=B66),$O$1:O65),0)+$E66,"sell",IFERROR(LOOKUP(2,1/($B$1:B65=B66),$O$1:O65),0)-$E66,"return_of_capital",IFERROR(LOOKUP(2,1/($B$1:B65=B66),$O$1:O65),0),"split",$E66,IFERROR(LOOKUP(2,1/($B$1:B65=B66),$O$1:O65),0)))</x:f>
      </x:c>
      <x:c r="P66" t="str">
        <x:f>IF(COUNTA($A66:$D66)=0,"",SWITCH(LOWER($D66),"buy",IFERROR(LOOKUP(2,1/($B$1:B65=B66),$P$1:P65),0)+$M66+$N66,"drip",IFERROR(LOOKUP(2,1/($B$1:B65=B66),$P$1:P65),0)+$M66+$N66,"sell",IFERROR(LOOKUP(2,1/($B$1:B65=B66),$P$1:P65),0)-IFERROR(IFERROR(LOOKUP(2,1/($B$1:B65=B66),$P$1:P65),0)/IFERROR(LOOKUP(2,1/($B$1:B65=B66),$O$1:O65),0)*$E66,0),"return_of_capital",IFERROR(LOOKUP(2,1/($B$1:B65=B66),$P$1:P65),0)-ABS($M66),"split",IFERROR(LOOKUP(2,1/($B$1:B65=B66),$P$1:P65),0),IFERROR(LOOKUP(2,1/($B$1:B65=B66),$P$1:P65),0)))</x:f>
      </x:c>
      <x:c r="Q66" t="str">
        <x:f>IFERROR($P66/$O66,"")</x:f>
      </x:c>
      <x:c r="R66" t="str">
        <x:f>IF(LOWER($D66)="sell",$M66-$N66-IFERROR(IFERROR(LOOKUP(2,1/($B$1:B65=B66),$P$1:P65),0)/IFERROR(LOOKUP(2,1/($B$1:B65=B66),$O$1:O65),0)*$E66,0),"")</x:f>
      </x:c>
      <x:c r="S66" t="str">
        <x:f>IF(COUNTA($A66:$D66)=0,"",IF($B66="","Missing symbol",IF($D66="","Missing action",IF(AND(LOWER($D66)="sell",$E66&gt;IFERROR(LOOKUP(2,1/($B$1:B65=B66),$O$1:O65),0)),"Sold more units than available","OK"))))</x:f>
      </x:c>
    </x:row>
    <x:row r="67">
      <x:c r="M67" t="str">
        <x:f>IF(COUNTA($A67:$D67)=0,"",IF($G67&lt;&gt;"",$G67,IF(AND($E67&lt;&gt;"",$F67&lt;&gt;""),$E67*$F67,""))*IF($J67&lt;&gt;"",$J67,1))</x:f>
      </x:c>
      <x:c r="N67" t="str">
        <x:f>IF(COUNTA($A67:$D67)=0,"",IF($H67&lt;&gt;"",$H67,0)*IF($J67&lt;&gt;"",$J67,1))</x:f>
      </x:c>
      <x:c r="O67" t="str">
        <x:f>IF(COUNTA($A67:$D67)=0,"",SWITCH(LOWER($D67),"buy",IFERROR(LOOKUP(2,1/($B$1:B66=B67),$O$1:O66),0)+$E67,"drip",IFERROR(LOOKUP(2,1/($B$1:B66=B67),$O$1:O66),0)+$E67,"sell",IFERROR(LOOKUP(2,1/($B$1:B66=B67),$O$1:O66),0)-$E67,"return_of_capital",IFERROR(LOOKUP(2,1/($B$1:B66=B67),$O$1:O66),0),"split",$E67,IFERROR(LOOKUP(2,1/($B$1:B66=B67),$O$1:O66),0)))</x:f>
      </x:c>
      <x:c r="P67" t="str">
        <x:f>IF(COUNTA($A67:$D67)=0,"",SWITCH(LOWER($D67),"buy",IFERROR(LOOKUP(2,1/($B$1:B66=B67),$P$1:P66),0)+$M67+$N67,"drip",IFERROR(LOOKUP(2,1/($B$1:B66=B67),$P$1:P66),0)+$M67+$N67,"sell",IFERROR(LOOKUP(2,1/($B$1:B66=B67),$P$1:P66),0)-IFERROR(IFERROR(LOOKUP(2,1/($B$1:B66=B67),$P$1:P66),0)/IFERROR(LOOKUP(2,1/($B$1:B66=B67),$O$1:O66),0)*$E67,0),"return_of_capital",IFERROR(LOOKUP(2,1/($B$1:B66=B67),$P$1:P66),0)-ABS($M67),"split",IFERROR(LOOKUP(2,1/($B$1:B66=B67),$P$1:P66),0),IFERROR(LOOKUP(2,1/($B$1:B66=B67),$P$1:P66),0)))</x:f>
      </x:c>
      <x:c r="Q67" t="str">
        <x:f>IFERROR($P67/$O67,"")</x:f>
      </x:c>
      <x:c r="R67" t="str">
        <x:f>IF(LOWER($D67)="sell",$M67-$N67-IFERROR(IFERROR(LOOKUP(2,1/($B$1:B66=B67),$P$1:P66),0)/IFERROR(LOOKUP(2,1/($B$1:B66=B67),$O$1:O66),0)*$E67,0),"")</x:f>
      </x:c>
      <x:c r="S67" t="str">
        <x:f>IF(COUNTA($A67:$D67)=0,"",IF($B67="","Missing symbol",IF($D67="","Missing action",IF(AND(LOWER($D67)="sell",$E67&gt;IFERROR(LOOKUP(2,1/($B$1:B66=B67),$O$1:O66),0)),"Sold more units than available","OK"))))</x:f>
      </x:c>
    </x:row>
    <x:row r="68">
      <x:c r="M68" t="str">
        <x:f>IF(COUNTA($A68:$D68)=0,"",IF($G68&lt;&gt;"",$G68,IF(AND($E68&lt;&gt;"",$F68&lt;&gt;""),$E68*$F68,""))*IF($J68&lt;&gt;"",$J68,1))</x:f>
      </x:c>
      <x:c r="N68" t="str">
        <x:f>IF(COUNTA($A68:$D68)=0,"",IF($H68&lt;&gt;"",$H68,0)*IF($J68&lt;&gt;"",$J68,1))</x:f>
      </x:c>
      <x:c r="O68" t="str">
        <x:f>IF(COUNTA($A68:$D68)=0,"",SWITCH(LOWER($D68),"buy",IFERROR(LOOKUP(2,1/($B$1:B67=B68),$O$1:O67),0)+$E68,"drip",IFERROR(LOOKUP(2,1/($B$1:B67=B68),$O$1:O67),0)+$E68,"sell",IFERROR(LOOKUP(2,1/($B$1:B67=B68),$O$1:O67),0)-$E68,"return_of_capital",IFERROR(LOOKUP(2,1/($B$1:B67=B68),$O$1:O67),0),"split",$E68,IFERROR(LOOKUP(2,1/($B$1:B67=B68),$O$1:O67),0)))</x:f>
      </x:c>
      <x:c r="P68" t="str">
        <x:f>IF(COUNTA($A68:$D68)=0,"",SWITCH(LOWER($D68),"buy",IFERROR(LOOKUP(2,1/($B$1:B67=B68),$P$1:P67),0)+$M68+$N68,"drip",IFERROR(LOOKUP(2,1/($B$1:B67=B68),$P$1:P67),0)+$M68+$N68,"sell",IFERROR(LOOKUP(2,1/($B$1:B67=B68),$P$1:P67),0)-IFERROR(IFERROR(LOOKUP(2,1/($B$1:B67=B68),$P$1:P67),0)/IFERROR(LOOKUP(2,1/($B$1:B67=B68),$O$1:O67),0)*$E68,0),"return_of_capital",IFERROR(LOOKUP(2,1/($B$1:B67=B68),$P$1:P67),0)-ABS($M68),"split",IFERROR(LOOKUP(2,1/($B$1:B67=B68),$P$1:P67),0),IFERROR(LOOKUP(2,1/($B$1:B67=B68),$P$1:P67),0)))</x:f>
      </x:c>
      <x:c r="Q68" t="str">
        <x:f>IFERROR($P68/$O68,"")</x:f>
      </x:c>
      <x:c r="R68" t="str">
        <x:f>IF(LOWER($D68)="sell",$M68-$N68-IFERROR(IFERROR(LOOKUP(2,1/($B$1:B67=B68),$P$1:P67),0)/IFERROR(LOOKUP(2,1/($B$1:B67=B68),$O$1:O67),0)*$E68,0),"")</x:f>
      </x:c>
      <x:c r="S68" t="str">
        <x:f>IF(COUNTA($A68:$D68)=0,"",IF($B68="","Missing symbol",IF($D68="","Missing action",IF(AND(LOWER($D68)="sell",$E68&gt;IFERROR(LOOKUP(2,1/($B$1:B67=B68),$O$1:O67),0)),"Sold more units than available","OK"))))</x:f>
      </x:c>
    </x:row>
    <x:row r="69">
      <x:c r="M69" t="str">
        <x:f>IF(COUNTA($A69:$D69)=0,"",IF($G69&lt;&gt;"",$G69,IF(AND($E69&lt;&gt;"",$F69&lt;&gt;""),$E69*$F69,""))*IF($J69&lt;&gt;"",$J69,1))</x:f>
      </x:c>
      <x:c r="N69" t="str">
        <x:f>IF(COUNTA($A69:$D69)=0,"",IF($H69&lt;&gt;"",$H69,0)*IF($J69&lt;&gt;"",$J69,1))</x:f>
      </x:c>
      <x:c r="O69" t="str">
        <x:f>IF(COUNTA($A69:$D69)=0,"",SWITCH(LOWER($D69),"buy",IFERROR(LOOKUP(2,1/($B$1:B68=B69),$O$1:O68),0)+$E69,"drip",IFERROR(LOOKUP(2,1/($B$1:B68=B69),$O$1:O68),0)+$E69,"sell",IFERROR(LOOKUP(2,1/($B$1:B68=B69),$O$1:O68),0)-$E69,"return_of_capital",IFERROR(LOOKUP(2,1/($B$1:B68=B69),$O$1:O68),0),"split",$E69,IFERROR(LOOKUP(2,1/($B$1:B68=B69),$O$1:O68),0)))</x:f>
      </x:c>
      <x:c r="P69" t="str">
        <x:f>IF(COUNTA($A69:$D69)=0,"",SWITCH(LOWER($D69),"buy",IFERROR(LOOKUP(2,1/($B$1:B68=B69),$P$1:P68),0)+$M69+$N69,"drip",IFERROR(LOOKUP(2,1/($B$1:B68=B69),$P$1:P68),0)+$M69+$N69,"sell",IFERROR(LOOKUP(2,1/($B$1:B68=B69),$P$1:P68),0)-IFERROR(IFERROR(LOOKUP(2,1/($B$1:B68=B69),$P$1:P68),0)/IFERROR(LOOKUP(2,1/($B$1:B68=B69),$O$1:O68),0)*$E69,0),"return_of_capital",IFERROR(LOOKUP(2,1/($B$1:B68=B69),$P$1:P68),0)-ABS($M69),"split",IFERROR(LOOKUP(2,1/($B$1:B68=B69),$P$1:P68),0),IFERROR(LOOKUP(2,1/($B$1:B68=B69),$P$1:P68),0)))</x:f>
      </x:c>
      <x:c r="Q69" t="str">
        <x:f>IFERROR($P69/$O69,"")</x:f>
      </x:c>
      <x:c r="R69" t="str">
        <x:f>IF(LOWER($D69)="sell",$M69-$N69-IFERROR(IFERROR(LOOKUP(2,1/($B$1:B68=B69),$P$1:P68),0)/IFERROR(LOOKUP(2,1/($B$1:B68=B69),$O$1:O68),0)*$E69,0),"")</x:f>
      </x:c>
      <x:c r="S69" t="str">
        <x:f>IF(COUNTA($A69:$D69)=0,"",IF($B69="","Missing symbol",IF($D69="","Missing action",IF(AND(LOWER($D69)="sell",$E69&gt;IFERROR(LOOKUP(2,1/($B$1:B68=B69),$O$1:O68),0)),"Sold more units than available","OK"))))</x:f>
      </x:c>
    </x:row>
    <x:row r="70">
      <x:c r="M70" t="str">
        <x:f>IF(COUNTA($A70:$D70)=0,"",IF($G70&lt;&gt;"",$G70,IF(AND($E70&lt;&gt;"",$F70&lt;&gt;""),$E70*$F70,""))*IF($J70&lt;&gt;"",$J70,1))</x:f>
      </x:c>
      <x:c r="N70" t="str">
        <x:f>IF(COUNTA($A70:$D70)=0,"",IF($H70&lt;&gt;"",$H70,0)*IF($J70&lt;&gt;"",$J70,1))</x:f>
      </x:c>
      <x:c r="O70" t="str">
        <x:f>IF(COUNTA($A70:$D70)=0,"",SWITCH(LOWER($D70),"buy",IFERROR(LOOKUP(2,1/($B$1:B69=B70),$O$1:O69),0)+$E70,"drip",IFERROR(LOOKUP(2,1/($B$1:B69=B70),$O$1:O69),0)+$E70,"sell",IFERROR(LOOKUP(2,1/($B$1:B69=B70),$O$1:O69),0)-$E70,"return_of_capital",IFERROR(LOOKUP(2,1/($B$1:B69=B70),$O$1:O69),0),"split",$E70,IFERROR(LOOKUP(2,1/($B$1:B69=B70),$O$1:O69),0)))</x:f>
      </x:c>
      <x:c r="P70" t="str">
        <x:f>IF(COUNTA($A70:$D70)=0,"",SWITCH(LOWER($D70),"buy",IFERROR(LOOKUP(2,1/($B$1:B69=B70),$P$1:P69),0)+$M70+$N70,"drip",IFERROR(LOOKUP(2,1/($B$1:B69=B70),$P$1:P69),0)+$M70+$N70,"sell",IFERROR(LOOKUP(2,1/($B$1:B69=B70),$P$1:P69),0)-IFERROR(IFERROR(LOOKUP(2,1/($B$1:B69=B70),$P$1:P69),0)/IFERROR(LOOKUP(2,1/($B$1:B69=B70),$O$1:O69),0)*$E70,0),"return_of_capital",IFERROR(LOOKUP(2,1/($B$1:B69=B70),$P$1:P69),0)-ABS($M70),"split",IFERROR(LOOKUP(2,1/($B$1:B69=B70),$P$1:P69),0),IFERROR(LOOKUP(2,1/($B$1:B69=B70),$P$1:P69),0)))</x:f>
      </x:c>
      <x:c r="Q70" t="str">
        <x:f>IFERROR($P70/$O70,"")</x:f>
      </x:c>
      <x:c r="R70" t="str">
        <x:f>IF(LOWER($D70)="sell",$M70-$N70-IFERROR(IFERROR(LOOKUP(2,1/($B$1:B69=B70),$P$1:P69),0)/IFERROR(LOOKUP(2,1/($B$1:B69=B70),$O$1:O69),0)*$E70,0),"")</x:f>
      </x:c>
      <x:c r="S70" t="str">
        <x:f>IF(COUNTA($A70:$D70)=0,"",IF($B70="","Missing symbol",IF($D70="","Missing action",IF(AND(LOWER($D70)="sell",$E70&gt;IFERROR(LOOKUP(2,1/($B$1:B69=B70),$O$1:O69),0)),"Sold more units than available","OK"))))</x:f>
      </x:c>
    </x:row>
    <x:row r="71">
      <x:c r="M71" t="str">
        <x:f>IF(COUNTA($A71:$D71)=0,"",IF($G71&lt;&gt;"",$G71,IF(AND($E71&lt;&gt;"",$F71&lt;&gt;""),$E71*$F71,""))*IF($J71&lt;&gt;"",$J71,1))</x:f>
      </x:c>
      <x:c r="N71" t="str">
        <x:f>IF(COUNTA($A71:$D71)=0,"",IF($H71&lt;&gt;"",$H71,0)*IF($J71&lt;&gt;"",$J71,1))</x:f>
      </x:c>
      <x:c r="O71" t="str">
        <x:f>IF(COUNTA($A71:$D71)=0,"",SWITCH(LOWER($D71),"buy",IFERROR(LOOKUP(2,1/($B$1:B70=B71),$O$1:O70),0)+$E71,"drip",IFERROR(LOOKUP(2,1/($B$1:B70=B71),$O$1:O70),0)+$E71,"sell",IFERROR(LOOKUP(2,1/($B$1:B70=B71),$O$1:O70),0)-$E71,"return_of_capital",IFERROR(LOOKUP(2,1/($B$1:B70=B71),$O$1:O70),0),"split",$E71,IFERROR(LOOKUP(2,1/($B$1:B70=B71),$O$1:O70),0)))</x:f>
      </x:c>
      <x:c r="P71" t="str">
        <x:f>IF(COUNTA($A71:$D71)=0,"",SWITCH(LOWER($D71),"buy",IFERROR(LOOKUP(2,1/($B$1:B70=B71),$P$1:P70),0)+$M71+$N71,"drip",IFERROR(LOOKUP(2,1/($B$1:B70=B71),$P$1:P70),0)+$M71+$N71,"sell",IFERROR(LOOKUP(2,1/($B$1:B70=B71),$P$1:P70),0)-IFERROR(IFERROR(LOOKUP(2,1/($B$1:B70=B71),$P$1:P70),0)/IFERROR(LOOKUP(2,1/($B$1:B70=B71),$O$1:O70),0)*$E71,0),"return_of_capital",IFERROR(LOOKUP(2,1/($B$1:B70=B71),$P$1:P70),0)-ABS($M71),"split",IFERROR(LOOKUP(2,1/($B$1:B70=B71),$P$1:P70),0),IFERROR(LOOKUP(2,1/($B$1:B70=B71),$P$1:P70),0)))</x:f>
      </x:c>
      <x:c r="Q71" t="str">
        <x:f>IFERROR($P71/$O71,"")</x:f>
      </x:c>
      <x:c r="R71" t="str">
        <x:f>IF(LOWER($D71)="sell",$M71-$N71-IFERROR(IFERROR(LOOKUP(2,1/($B$1:B70=B71),$P$1:P70),0)/IFERROR(LOOKUP(2,1/($B$1:B70=B71),$O$1:O70),0)*$E71,0),"")</x:f>
      </x:c>
      <x:c r="S71" t="str">
        <x:f>IF(COUNTA($A71:$D71)=0,"",IF($B71="","Missing symbol",IF($D71="","Missing action",IF(AND(LOWER($D71)="sell",$E71&gt;IFERROR(LOOKUP(2,1/($B$1:B70=B71),$O$1:O70),0)),"Sold more units than available","OK"))))</x:f>
      </x:c>
    </x:row>
    <x:row r="72">
      <x:c r="M72" t="str">
        <x:f>IF(COUNTA($A72:$D72)=0,"",IF($G72&lt;&gt;"",$G72,IF(AND($E72&lt;&gt;"",$F72&lt;&gt;""),$E72*$F72,""))*IF($J72&lt;&gt;"",$J72,1))</x:f>
      </x:c>
      <x:c r="N72" t="str">
        <x:f>IF(COUNTA($A72:$D72)=0,"",IF($H72&lt;&gt;"",$H72,0)*IF($J72&lt;&gt;"",$J72,1))</x:f>
      </x:c>
      <x:c r="O72" t="str">
        <x:f>IF(COUNTA($A72:$D72)=0,"",SWITCH(LOWER($D72),"buy",IFERROR(LOOKUP(2,1/($B$1:B71=B72),$O$1:O71),0)+$E72,"drip",IFERROR(LOOKUP(2,1/($B$1:B71=B72),$O$1:O71),0)+$E72,"sell",IFERROR(LOOKUP(2,1/($B$1:B71=B72),$O$1:O71),0)-$E72,"return_of_capital",IFERROR(LOOKUP(2,1/($B$1:B71=B72),$O$1:O71),0),"split",$E72,IFERROR(LOOKUP(2,1/($B$1:B71=B72),$O$1:O71),0)))</x:f>
      </x:c>
      <x:c r="P72" t="str">
        <x:f>IF(COUNTA($A72:$D72)=0,"",SWITCH(LOWER($D72),"buy",IFERROR(LOOKUP(2,1/($B$1:B71=B72),$P$1:P71),0)+$M72+$N72,"drip",IFERROR(LOOKUP(2,1/($B$1:B71=B72),$P$1:P71),0)+$M72+$N72,"sell",IFERROR(LOOKUP(2,1/($B$1:B71=B72),$P$1:P71),0)-IFERROR(IFERROR(LOOKUP(2,1/($B$1:B71=B72),$P$1:P71),0)/IFERROR(LOOKUP(2,1/($B$1:B71=B72),$O$1:O71),0)*$E72,0),"return_of_capital",IFERROR(LOOKUP(2,1/($B$1:B71=B72),$P$1:P71),0)-ABS($M72),"split",IFERROR(LOOKUP(2,1/($B$1:B71=B72),$P$1:P71),0),IFERROR(LOOKUP(2,1/($B$1:B71=B72),$P$1:P71),0)))</x:f>
      </x:c>
      <x:c r="Q72" t="str">
        <x:f>IFERROR($P72/$O72,"")</x:f>
      </x:c>
      <x:c r="R72" t="str">
        <x:f>IF(LOWER($D72)="sell",$M72-$N72-IFERROR(IFERROR(LOOKUP(2,1/($B$1:B71=B72),$P$1:P71),0)/IFERROR(LOOKUP(2,1/($B$1:B71=B72),$O$1:O71),0)*$E72,0),"")</x:f>
      </x:c>
      <x:c r="S72" t="str">
        <x:f>IF(COUNTA($A72:$D72)=0,"",IF($B72="","Missing symbol",IF($D72="","Missing action",IF(AND(LOWER($D72)="sell",$E72&gt;IFERROR(LOOKUP(2,1/($B$1:B71=B72),$O$1:O71),0)),"Sold more units than available","OK"))))</x:f>
      </x:c>
    </x:row>
    <x:row r="73">
      <x:c r="M73" t="str">
        <x:f>IF(COUNTA($A73:$D73)=0,"",IF($G73&lt;&gt;"",$G73,IF(AND($E73&lt;&gt;"",$F73&lt;&gt;""),$E73*$F73,""))*IF($J73&lt;&gt;"",$J73,1))</x:f>
      </x:c>
      <x:c r="N73" t="str">
        <x:f>IF(COUNTA($A73:$D73)=0,"",IF($H73&lt;&gt;"",$H73,0)*IF($J73&lt;&gt;"",$J73,1))</x:f>
      </x:c>
      <x:c r="O73" t="str">
        <x:f>IF(COUNTA($A73:$D73)=0,"",SWITCH(LOWER($D73),"buy",IFERROR(LOOKUP(2,1/($B$1:B72=B73),$O$1:O72),0)+$E73,"drip",IFERROR(LOOKUP(2,1/($B$1:B72=B73),$O$1:O72),0)+$E73,"sell",IFERROR(LOOKUP(2,1/($B$1:B72=B73),$O$1:O72),0)-$E73,"return_of_capital",IFERROR(LOOKUP(2,1/($B$1:B72=B73),$O$1:O72),0),"split",$E73,IFERROR(LOOKUP(2,1/($B$1:B72=B73),$O$1:O72),0)))</x:f>
      </x:c>
      <x:c r="P73" t="str">
        <x:f>IF(COUNTA($A73:$D73)=0,"",SWITCH(LOWER($D73),"buy",IFERROR(LOOKUP(2,1/($B$1:B72=B73),$P$1:P72),0)+$M73+$N73,"drip",IFERROR(LOOKUP(2,1/($B$1:B72=B73),$P$1:P72),0)+$M73+$N73,"sell",IFERROR(LOOKUP(2,1/($B$1:B72=B73),$P$1:P72),0)-IFERROR(IFERROR(LOOKUP(2,1/($B$1:B72=B73),$P$1:P72),0)/IFERROR(LOOKUP(2,1/($B$1:B72=B73),$O$1:O72),0)*$E73,0),"return_of_capital",IFERROR(LOOKUP(2,1/($B$1:B72=B73),$P$1:P72),0)-ABS($M73),"split",IFERROR(LOOKUP(2,1/($B$1:B72=B73),$P$1:P72),0),IFERROR(LOOKUP(2,1/($B$1:B72=B73),$P$1:P72),0)))</x:f>
      </x:c>
      <x:c r="Q73" t="str">
        <x:f>IFERROR($P73/$O73,"")</x:f>
      </x:c>
      <x:c r="R73" t="str">
        <x:f>IF(LOWER($D73)="sell",$M73-$N73-IFERROR(IFERROR(LOOKUP(2,1/($B$1:B72=B73),$P$1:P72),0)/IFERROR(LOOKUP(2,1/($B$1:B72=B73),$O$1:O72),0)*$E73,0),"")</x:f>
      </x:c>
      <x:c r="S73" t="str">
        <x:f>IF(COUNTA($A73:$D73)=0,"",IF($B73="","Missing symbol",IF($D73="","Missing action",IF(AND(LOWER($D73)="sell",$E73&gt;IFERROR(LOOKUP(2,1/($B$1:B72=B73),$O$1:O72),0)),"Sold more units than available","OK"))))</x:f>
      </x:c>
    </x:row>
    <x:row r="74">
      <x:c r="M74" t="str">
        <x:f>IF(COUNTA($A74:$D74)=0,"",IF($G74&lt;&gt;"",$G74,IF(AND($E74&lt;&gt;"",$F74&lt;&gt;""),$E74*$F74,""))*IF($J74&lt;&gt;"",$J74,1))</x:f>
      </x:c>
      <x:c r="N74" t="str">
        <x:f>IF(COUNTA($A74:$D74)=0,"",IF($H74&lt;&gt;"",$H74,0)*IF($J74&lt;&gt;"",$J74,1))</x:f>
      </x:c>
      <x:c r="O74" t="str">
        <x:f>IF(COUNTA($A74:$D74)=0,"",SWITCH(LOWER($D74),"buy",IFERROR(LOOKUP(2,1/($B$1:B73=B74),$O$1:O73),0)+$E74,"drip",IFERROR(LOOKUP(2,1/($B$1:B73=B74),$O$1:O73),0)+$E74,"sell",IFERROR(LOOKUP(2,1/($B$1:B73=B74),$O$1:O73),0)-$E74,"return_of_capital",IFERROR(LOOKUP(2,1/($B$1:B73=B74),$O$1:O73),0),"split",$E74,IFERROR(LOOKUP(2,1/($B$1:B73=B74),$O$1:O73),0)))</x:f>
      </x:c>
      <x:c r="P74" t="str">
        <x:f>IF(COUNTA($A74:$D74)=0,"",SWITCH(LOWER($D74),"buy",IFERROR(LOOKUP(2,1/($B$1:B73=B74),$P$1:P73),0)+$M74+$N74,"drip",IFERROR(LOOKUP(2,1/($B$1:B73=B74),$P$1:P73),0)+$M74+$N74,"sell",IFERROR(LOOKUP(2,1/($B$1:B73=B74),$P$1:P73),0)-IFERROR(IFERROR(LOOKUP(2,1/($B$1:B73=B74),$P$1:P73),0)/IFERROR(LOOKUP(2,1/($B$1:B73=B74),$O$1:O73),0)*$E74,0),"return_of_capital",IFERROR(LOOKUP(2,1/($B$1:B73=B74),$P$1:P73),0)-ABS($M74),"split",IFERROR(LOOKUP(2,1/($B$1:B73=B74),$P$1:P73),0),IFERROR(LOOKUP(2,1/($B$1:B73=B74),$P$1:P73),0)))</x:f>
      </x:c>
      <x:c r="Q74" t="str">
        <x:f>IFERROR($P74/$O74,"")</x:f>
      </x:c>
      <x:c r="R74" t="str">
        <x:f>IF(LOWER($D74)="sell",$M74-$N74-IFERROR(IFERROR(LOOKUP(2,1/($B$1:B73=B74),$P$1:P73),0)/IFERROR(LOOKUP(2,1/($B$1:B73=B74),$O$1:O73),0)*$E74,0),"")</x:f>
      </x:c>
      <x:c r="S74" t="str">
        <x:f>IF(COUNTA($A74:$D74)=0,"",IF($B74="","Missing symbol",IF($D74="","Missing action",IF(AND(LOWER($D74)="sell",$E74&gt;IFERROR(LOOKUP(2,1/($B$1:B73=B74),$O$1:O73),0)),"Sold more units than available","OK"))))</x:f>
      </x:c>
    </x:row>
    <x:row r="75">
      <x:c r="M75" t="str">
        <x:f>IF(COUNTA($A75:$D75)=0,"",IF($G75&lt;&gt;"",$G75,IF(AND($E75&lt;&gt;"",$F75&lt;&gt;""),$E75*$F75,""))*IF($J75&lt;&gt;"",$J75,1))</x:f>
      </x:c>
      <x:c r="N75" t="str">
        <x:f>IF(COUNTA($A75:$D75)=0,"",IF($H75&lt;&gt;"",$H75,0)*IF($J75&lt;&gt;"",$J75,1))</x:f>
      </x:c>
      <x:c r="O75" t="str">
        <x:f>IF(COUNTA($A75:$D75)=0,"",SWITCH(LOWER($D75),"buy",IFERROR(LOOKUP(2,1/($B$1:B74=B75),$O$1:O74),0)+$E75,"drip",IFERROR(LOOKUP(2,1/($B$1:B74=B75),$O$1:O74),0)+$E75,"sell",IFERROR(LOOKUP(2,1/($B$1:B74=B75),$O$1:O74),0)-$E75,"return_of_capital",IFERROR(LOOKUP(2,1/($B$1:B74=B75),$O$1:O74),0),"split",$E75,IFERROR(LOOKUP(2,1/($B$1:B74=B75),$O$1:O74),0)))</x:f>
      </x:c>
      <x:c r="P75" t="str">
        <x:f>IF(COUNTA($A75:$D75)=0,"",SWITCH(LOWER($D75),"buy",IFERROR(LOOKUP(2,1/($B$1:B74=B75),$P$1:P74),0)+$M75+$N75,"drip",IFERROR(LOOKUP(2,1/($B$1:B74=B75),$P$1:P74),0)+$M75+$N75,"sell",IFERROR(LOOKUP(2,1/($B$1:B74=B75),$P$1:P74),0)-IFERROR(IFERROR(LOOKUP(2,1/($B$1:B74=B75),$P$1:P74),0)/IFERROR(LOOKUP(2,1/($B$1:B74=B75),$O$1:O74),0)*$E75,0),"return_of_capital",IFERROR(LOOKUP(2,1/($B$1:B74=B75),$P$1:P74),0)-ABS($M75),"split",IFERROR(LOOKUP(2,1/($B$1:B74=B75),$P$1:P74),0),IFERROR(LOOKUP(2,1/($B$1:B74=B75),$P$1:P74),0)))</x:f>
      </x:c>
      <x:c r="Q75" t="str">
        <x:f>IFERROR($P75/$O75,"")</x:f>
      </x:c>
      <x:c r="R75" t="str">
        <x:f>IF(LOWER($D75)="sell",$M75-$N75-IFERROR(IFERROR(LOOKUP(2,1/($B$1:B74=B75),$P$1:P74),0)/IFERROR(LOOKUP(2,1/($B$1:B74=B75),$O$1:O74),0)*$E75,0),"")</x:f>
      </x:c>
      <x:c r="S75" t="str">
        <x:f>IF(COUNTA($A75:$D75)=0,"",IF($B75="","Missing symbol",IF($D75="","Missing action",IF(AND(LOWER($D75)="sell",$E75&gt;IFERROR(LOOKUP(2,1/($B$1:B74=B75),$O$1:O74),0)),"Sold more units than available","OK"))))</x:f>
      </x:c>
    </x:row>
    <x:row r="76">
      <x:c r="M76" t="str">
        <x:f>IF(COUNTA($A76:$D76)=0,"",IF($G76&lt;&gt;"",$G76,IF(AND($E76&lt;&gt;"",$F76&lt;&gt;""),$E76*$F76,""))*IF($J76&lt;&gt;"",$J76,1))</x:f>
      </x:c>
      <x:c r="N76" t="str">
        <x:f>IF(COUNTA($A76:$D76)=0,"",IF($H76&lt;&gt;"",$H76,0)*IF($J76&lt;&gt;"",$J76,1))</x:f>
      </x:c>
      <x:c r="O76" t="str">
        <x:f>IF(COUNTA($A76:$D76)=0,"",SWITCH(LOWER($D76),"buy",IFERROR(LOOKUP(2,1/($B$1:B75=B76),$O$1:O75),0)+$E76,"drip",IFERROR(LOOKUP(2,1/($B$1:B75=B76),$O$1:O75),0)+$E76,"sell",IFERROR(LOOKUP(2,1/($B$1:B75=B76),$O$1:O75),0)-$E76,"return_of_capital",IFERROR(LOOKUP(2,1/($B$1:B75=B76),$O$1:O75),0),"split",$E76,IFERROR(LOOKUP(2,1/($B$1:B75=B76),$O$1:O75),0)))</x:f>
      </x:c>
      <x:c r="P76" t="str">
        <x:f>IF(COUNTA($A76:$D76)=0,"",SWITCH(LOWER($D76),"buy",IFERROR(LOOKUP(2,1/($B$1:B75=B76),$P$1:P75),0)+$M76+$N76,"drip",IFERROR(LOOKUP(2,1/($B$1:B75=B76),$P$1:P75),0)+$M76+$N76,"sell",IFERROR(LOOKUP(2,1/($B$1:B75=B76),$P$1:P75),0)-IFERROR(IFERROR(LOOKUP(2,1/($B$1:B75=B76),$P$1:P75),0)/IFERROR(LOOKUP(2,1/($B$1:B75=B76),$O$1:O75),0)*$E76,0),"return_of_capital",IFERROR(LOOKUP(2,1/($B$1:B75=B76),$P$1:P75),0)-ABS($M76),"split",IFERROR(LOOKUP(2,1/($B$1:B75=B76),$P$1:P75),0),IFERROR(LOOKUP(2,1/($B$1:B75=B76),$P$1:P75),0)))</x:f>
      </x:c>
      <x:c r="Q76" t="str">
        <x:f>IFERROR($P76/$O76,"")</x:f>
      </x:c>
      <x:c r="R76" t="str">
        <x:f>IF(LOWER($D76)="sell",$M76-$N76-IFERROR(IFERROR(LOOKUP(2,1/($B$1:B75=B76),$P$1:P75),0)/IFERROR(LOOKUP(2,1/($B$1:B75=B76),$O$1:O75),0)*$E76,0),"")</x:f>
      </x:c>
      <x:c r="S76" t="str">
        <x:f>IF(COUNTA($A76:$D76)=0,"",IF($B76="","Missing symbol",IF($D76="","Missing action",IF(AND(LOWER($D76)="sell",$E76&gt;IFERROR(LOOKUP(2,1/($B$1:B75=B76),$O$1:O75),0)),"Sold more units than available","OK"))))</x:f>
      </x:c>
    </x:row>
    <x:row r="77">
      <x:c r="M77" t="str">
        <x:f>IF(COUNTA($A77:$D77)=0,"",IF($G77&lt;&gt;"",$G77,IF(AND($E77&lt;&gt;"",$F77&lt;&gt;""),$E77*$F77,""))*IF($J77&lt;&gt;"",$J77,1))</x:f>
      </x:c>
      <x:c r="N77" t="str">
        <x:f>IF(COUNTA($A77:$D77)=0,"",IF($H77&lt;&gt;"",$H77,0)*IF($J77&lt;&gt;"",$J77,1))</x:f>
      </x:c>
      <x:c r="O77" t="str">
        <x:f>IF(COUNTA($A77:$D77)=0,"",SWITCH(LOWER($D77),"buy",IFERROR(LOOKUP(2,1/($B$1:B76=B77),$O$1:O76),0)+$E77,"drip",IFERROR(LOOKUP(2,1/($B$1:B76=B77),$O$1:O76),0)+$E77,"sell",IFERROR(LOOKUP(2,1/($B$1:B76=B77),$O$1:O76),0)-$E77,"return_of_capital",IFERROR(LOOKUP(2,1/($B$1:B76=B77),$O$1:O76),0),"split",$E77,IFERROR(LOOKUP(2,1/($B$1:B76=B77),$O$1:O76),0)))</x:f>
      </x:c>
      <x:c r="P77" t="str">
        <x:f>IF(COUNTA($A77:$D77)=0,"",SWITCH(LOWER($D77),"buy",IFERROR(LOOKUP(2,1/($B$1:B76=B77),$P$1:P76),0)+$M77+$N77,"drip",IFERROR(LOOKUP(2,1/($B$1:B76=B77),$P$1:P76),0)+$M77+$N77,"sell",IFERROR(LOOKUP(2,1/($B$1:B76=B77),$P$1:P76),0)-IFERROR(IFERROR(LOOKUP(2,1/($B$1:B76=B77),$P$1:P76),0)/IFERROR(LOOKUP(2,1/($B$1:B76=B77),$O$1:O76),0)*$E77,0),"return_of_capital",IFERROR(LOOKUP(2,1/($B$1:B76=B77),$P$1:P76),0)-ABS($M77),"split",IFERROR(LOOKUP(2,1/($B$1:B76=B77),$P$1:P76),0),IFERROR(LOOKUP(2,1/($B$1:B76=B77),$P$1:P76),0)))</x:f>
      </x:c>
      <x:c r="Q77" t="str">
        <x:f>IFERROR($P77/$O77,"")</x:f>
      </x:c>
      <x:c r="R77" t="str">
        <x:f>IF(LOWER($D77)="sell",$M77-$N77-IFERROR(IFERROR(LOOKUP(2,1/($B$1:B76=B77),$P$1:P76),0)/IFERROR(LOOKUP(2,1/($B$1:B76=B77),$O$1:O76),0)*$E77,0),"")</x:f>
      </x:c>
      <x:c r="S77" t="str">
        <x:f>IF(COUNTA($A77:$D77)=0,"",IF($B77="","Missing symbol",IF($D77="","Missing action",IF(AND(LOWER($D77)="sell",$E77&gt;IFERROR(LOOKUP(2,1/($B$1:B76=B77),$O$1:O76),0)),"Sold more units than available","OK"))))</x:f>
      </x:c>
    </x:row>
    <x:row r="78">
      <x:c r="M78" t="str">
        <x:f>IF(COUNTA($A78:$D78)=0,"",IF($G78&lt;&gt;"",$G78,IF(AND($E78&lt;&gt;"",$F78&lt;&gt;""),$E78*$F78,""))*IF($J78&lt;&gt;"",$J78,1))</x:f>
      </x:c>
      <x:c r="N78" t="str">
        <x:f>IF(COUNTA($A78:$D78)=0,"",IF($H78&lt;&gt;"",$H78,0)*IF($J78&lt;&gt;"",$J78,1))</x:f>
      </x:c>
      <x:c r="O78" t="str">
        <x:f>IF(COUNTA($A78:$D78)=0,"",SWITCH(LOWER($D78),"buy",IFERROR(LOOKUP(2,1/($B$1:B77=B78),$O$1:O77),0)+$E78,"drip",IFERROR(LOOKUP(2,1/($B$1:B77=B78),$O$1:O77),0)+$E78,"sell",IFERROR(LOOKUP(2,1/($B$1:B77=B78),$O$1:O77),0)-$E78,"return_of_capital",IFERROR(LOOKUP(2,1/($B$1:B77=B78),$O$1:O77),0),"split",$E78,IFERROR(LOOKUP(2,1/($B$1:B77=B78),$O$1:O77),0)))</x:f>
      </x:c>
      <x:c r="P78" t="str">
        <x:f>IF(COUNTA($A78:$D78)=0,"",SWITCH(LOWER($D78),"buy",IFERROR(LOOKUP(2,1/($B$1:B77=B78),$P$1:P77),0)+$M78+$N78,"drip",IFERROR(LOOKUP(2,1/($B$1:B77=B78),$P$1:P77),0)+$M78+$N78,"sell",IFERROR(LOOKUP(2,1/($B$1:B77=B78),$P$1:P77),0)-IFERROR(IFERROR(LOOKUP(2,1/($B$1:B77=B78),$P$1:P77),0)/IFERROR(LOOKUP(2,1/($B$1:B77=B78),$O$1:O77),0)*$E78,0),"return_of_capital",IFERROR(LOOKUP(2,1/($B$1:B77=B78),$P$1:P77),0)-ABS($M78),"split",IFERROR(LOOKUP(2,1/($B$1:B77=B78),$P$1:P77),0),IFERROR(LOOKUP(2,1/($B$1:B77=B78),$P$1:P77),0)))</x:f>
      </x:c>
      <x:c r="Q78" t="str">
        <x:f>IFERROR($P78/$O78,"")</x:f>
      </x:c>
      <x:c r="R78" t="str">
        <x:f>IF(LOWER($D78)="sell",$M78-$N78-IFERROR(IFERROR(LOOKUP(2,1/($B$1:B77=B78),$P$1:P77),0)/IFERROR(LOOKUP(2,1/($B$1:B77=B78),$O$1:O77),0)*$E78,0),"")</x:f>
      </x:c>
      <x:c r="S78" t="str">
        <x:f>IF(COUNTA($A78:$D78)=0,"",IF($B78="","Missing symbol",IF($D78="","Missing action",IF(AND(LOWER($D78)="sell",$E78&gt;IFERROR(LOOKUP(2,1/($B$1:B77=B78),$O$1:O77),0)),"Sold more units than available","OK"))))</x:f>
      </x:c>
    </x:row>
    <x:row r="79">
      <x:c r="M79" t="str">
        <x:f>IF(COUNTA($A79:$D79)=0,"",IF($G79&lt;&gt;"",$G79,IF(AND($E79&lt;&gt;"",$F79&lt;&gt;""),$E79*$F79,""))*IF($J79&lt;&gt;"",$J79,1))</x:f>
      </x:c>
      <x:c r="N79" t="str">
        <x:f>IF(COUNTA($A79:$D79)=0,"",IF($H79&lt;&gt;"",$H79,0)*IF($J79&lt;&gt;"",$J79,1))</x:f>
      </x:c>
      <x:c r="O79" t="str">
        <x:f>IF(COUNTA($A79:$D79)=0,"",SWITCH(LOWER($D79),"buy",IFERROR(LOOKUP(2,1/($B$1:B78=B79),$O$1:O78),0)+$E79,"drip",IFERROR(LOOKUP(2,1/($B$1:B78=B79),$O$1:O78),0)+$E79,"sell",IFERROR(LOOKUP(2,1/($B$1:B78=B79),$O$1:O78),0)-$E79,"return_of_capital",IFERROR(LOOKUP(2,1/($B$1:B78=B79),$O$1:O78),0),"split",$E79,IFERROR(LOOKUP(2,1/($B$1:B78=B79),$O$1:O78),0)))</x:f>
      </x:c>
      <x:c r="P79" t="str">
        <x:f>IF(COUNTA($A79:$D79)=0,"",SWITCH(LOWER($D79),"buy",IFERROR(LOOKUP(2,1/($B$1:B78=B79),$P$1:P78),0)+$M79+$N79,"drip",IFERROR(LOOKUP(2,1/($B$1:B78=B79),$P$1:P78),0)+$M79+$N79,"sell",IFERROR(LOOKUP(2,1/($B$1:B78=B79),$P$1:P78),0)-IFERROR(IFERROR(LOOKUP(2,1/($B$1:B78=B79),$P$1:P78),0)/IFERROR(LOOKUP(2,1/($B$1:B78=B79),$O$1:O78),0)*$E79,0),"return_of_capital",IFERROR(LOOKUP(2,1/($B$1:B78=B79),$P$1:P78),0)-ABS($M79),"split",IFERROR(LOOKUP(2,1/($B$1:B78=B79),$P$1:P78),0),IFERROR(LOOKUP(2,1/($B$1:B78=B79),$P$1:P78),0)))</x:f>
      </x:c>
      <x:c r="Q79" t="str">
        <x:f>IFERROR($P79/$O79,"")</x:f>
      </x:c>
      <x:c r="R79" t="str">
        <x:f>IF(LOWER($D79)="sell",$M79-$N79-IFERROR(IFERROR(LOOKUP(2,1/($B$1:B78=B79),$P$1:P78),0)/IFERROR(LOOKUP(2,1/($B$1:B78=B79),$O$1:O78),0)*$E79,0),"")</x:f>
      </x:c>
      <x:c r="S79" t="str">
        <x:f>IF(COUNTA($A79:$D79)=0,"",IF($B79="","Missing symbol",IF($D79="","Missing action",IF(AND(LOWER($D79)="sell",$E79&gt;IFERROR(LOOKUP(2,1/($B$1:B78=B79),$O$1:O78),0)),"Sold more units than available","OK"))))</x:f>
      </x:c>
    </x:row>
    <x:row r="80">
      <x:c r="M80" t="str">
        <x:f>IF(COUNTA($A80:$D80)=0,"",IF($G80&lt;&gt;"",$G80,IF(AND($E80&lt;&gt;"",$F80&lt;&gt;""),$E80*$F80,""))*IF($J80&lt;&gt;"",$J80,1))</x:f>
      </x:c>
      <x:c r="N80" t="str">
        <x:f>IF(COUNTA($A80:$D80)=0,"",IF($H80&lt;&gt;"",$H80,0)*IF($J80&lt;&gt;"",$J80,1))</x:f>
      </x:c>
      <x:c r="O80" t="str">
        <x:f>IF(COUNTA($A80:$D80)=0,"",SWITCH(LOWER($D80),"buy",IFERROR(LOOKUP(2,1/($B$1:B79=B80),$O$1:O79),0)+$E80,"drip",IFERROR(LOOKUP(2,1/($B$1:B79=B80),$O$1:O79),0)+$E80,"sell",IFERROR(LOOKUP(2,1/($B$1:B79=B80),$O$1:O79),0)-$E80,"return_of_capital",IFERROR(LOOKUP(2,1/($B$1:B79=B80),$O$1:O79),0),"split",$E80,IFERROR(LOOKUP(2,1/($B$1:B79=B80),$O$1:O79),0)))</x:f>
      </x:c>
      <x:c r="P80" t="str">
        <x:f>IF(COUNTA($A80:$D80)=0,"",SWITCH(LOWER($D80),"buy",IFERROR(LOOKUP(2,1/($B$1:B79=B80),$P$1:P79),0)+$M80+$N80,"drip",IFERROR(LOOKUP(2,1/($B$1:B79=B80),$P$1:P79),0)+$M80+$N80,"sell",IFERROR(LOOKUP(2,1/($B$1:B79=B80),$P$1:P79),0)-IFERROR(IFERROR(LOOKUP(2,1/($B$1:B79=B80),$P$1:P79),0)/IFERROR(LOOKUP(2,1/($B$1:B79=B80),$O$1:O79),0)*$E80,0),"return_of_capital",IFERROR(LOOKUP(2,1/($B$1:B79=B80),$P$1:P79),0)-ABS($M80),"split",IFERROR(LOOKUP(2,1/($B$1:B79=B80),$P$1:P79),0),IFERROR(LOOKUP(2,1/($B$1:B79=B80),$P$1:P79),0)))</x:f>
      </x:c>
      <x:c r="Q80" t="str">
        <x:f>IFERROR($P80/$O80,"")</x:f>
      </x:c>
      <x:c r="R80" t="str">
        <x:f>IF(LOWER($D80)="sell",$M80-$N80-IFERROR(IFERROR(LOOKUP(2,1/($B$1:B79=B80),$P$1:P79),0)/IFERROR(LOOKUP(2,1/($B$1:B79=B80),$O$1:O79),0)*$E80,0),"")</x:f>
      </x:c>
      <x:c r="S80" t="str">
        <x:f>IF(COUNTA($A80:$D80)=0,"",IF($B80="","Missing symbol",IF($D80="","Missing action",IF(AND(LOWER($D80)="sell",$E80&gt;IFERROR(LOOKUP(2,1/($B$1:B79=B80),$O$1:O79),0)),"Sold more units than available","OK"))))</x:f>
      </x:c>
    </x:row>
    <x:row r="81">
      <x:c r="M81" t="str">
        <x:f>IF(COUNTA($A81:$D81)=0,"",IF($G81&lt;&gt;"",$G81,IF(AND($E81&lt;&gt;"",$F81&lt;&gt;""),$E81*$F81,""))*IF($J81&lt;&gt;"",$J81,1))</x:f>
      </x:c>
      <x:c r="N81" t="str">
        <x:f>IF(COUNTA($A81:$D81)=0,"",IF($H81&lt;&gt;"",$H81,0)*IF($J81&lt;&gt;"",$J81,1))</x:f>
      </x:c>
      <x:c r="O81" t="str">
        <x:f>IF(COUNTA($A81:$D81)=0,"",SWITCH(LOWER($D81),"buy",IFERROR(LOOKUP(2,1/($B$1:B80=B81),$O$1:O80),0)+$E81,"drip",IFERROR(LOOKUP(2,1/($B$1:B80=B81),$O$1:O80),0)+$E81,"sell",IFERROR(LOOKUP(2,1/($B$1:B80=B81),$O$1:O80),0)-$E81,"return_of_capital",IFERROR(LOOKUP(2,1/($B$1:B80=B81),$O$1:O80),0),"split",$E81,IFERROR(LOOKUP(2,1/($B$1:B80=B81),$O$1:O80),0)))</x:f>
      </x:c>
      <x:c r="P81" t="str">
        <x:f>IF(COUNTA($A81:$D81)=0,"",SWITCH(LOWER($D81),"buy",IFERROR(LOOKUP(2,1/($B$1:B80=B81),$P$1:P80),0)+$M81+$N81,"drip",IFERROR(LOOKUP(2,1/($B$1:B80=B81),$P$1:P80),0)+$M81+$N81,"sell",IFERROR(LOOKUP(2,1/($B$1:B80=B81),$P$1:P80),0)-IFERROR(IFERROR(LOOKUP(2,1/($B$1:B80=B81),$P$1:P80),0)/IFERROR(LOOKUP(2,1/($B$1:B80=B81),$O$1:O80),0)*$E81,0),"return_of_capital",IFERROR(LOOKUP(2,1/($B$1:B80=B81),$P$1:P80),0)-ABS($M81),"split",IFERROR(LOOKUP(2,1/($B$1:B80=B81),$P$1:P80),0),IFERROR(LOOKUP(2,1/($B$1:B80=B81),$P$1:P80),0)))</x:f>
      </x:c>
      <x:c r="Q81" t="str">
        <x:f>IFERROR($P81/$O81,"")</x:f>
      </x:c>
      <x:c r="R81" t="str">
        <x:f>IF(LOWER($D81)="sell",$M81-$N81-IFERROR(IFERROR(LOOKUP(2,1/($B$1:B80=B81),$P$1:P80),0)/IFERROR(LOOKUP(2,1/($B$1:B80=B81),$O$1:O80),0)*$E81,0),"")</x:f>
      </x:c>
      <x:c r="S81" t="str">
        <x:f>IF(COUNTA($A81:$D81)=0,"",IF($B81="","Missing symbol",IF($D81="","Missing action",IF(AND(LOWER($D81)="sell",$E81&gt;IFERROR(LOOKUP(2,1/($B$1:B80=B81),$O$1:O80),0)),"Sold more units than available","OK"))))</x:f>
      </x:c>
    </x:row>
    <x:row r="82">
      <x:c r="M82" t="str">
        <x:f>IF(COUNTA($A82:$D82)=0,"",IF($G82&lt;&gt;"",$G82,IF(AND($E82&lt;&gt;"",$F82&lt;&gt;""),$E82*$F82,""))*IF($J82&lt;&gt;"",$J82,1))</x:f>
      </x:c>
      <x:c r="N82" t="str">
        <x:f>IF(COUNTA($A82:$D82)=0,"",IF($H82&lt;&gt;"",$H82,0)*IF($J82&lt;&gt;"",$J82,1))</x:f>
      </x:c>
      <x:c r="O82" t="str">
        <x:f>IF(COUNTA($A82:$D82)=0,"",SWITCH(LOWER($D82),"buy",IFERROR(LOOKUP(2,1/($B$1:B81=B82),$O$1:O81),0)+$E82,"drip",IFERROR(LOOKUP(2,1/($B$1:B81=B82),$O$1:O81),0)+$E82,"sell",IFERROR(LOOKUP(2,1/($B$1:B81=B82),$O$1:O81),0)-$E82,"return_of_capital",IFERROR(LOOKUP(2,1/($B$1:B81=B82),$O$1:O81),0),"split",$E82,IFERROR(LOOKUP(2,1/($B$1:B81=B82),$O$1:O81),0)))</x:f>
      </x:c>
      <x:c r="P82" t="str">
        <x:f>IF(COUNTA($A82:$D82)=0,"",SWITCH(LOWER($D82),"buy",IFERROR(LOOKUP(2,1/($B$1:B81=B82),$P$1:P81),0)+$M82+$N82,"drip",IFERROR(LOOKUP(2,1/($B$1:B81=B82),$P$1:P81),0)+$M82+$N82,"sell",IFERROR(LOOKUP(2,1/($B$1:B81=B82),$P$1:P81),0)-IFERROR(IFERROR(LOOKUP(2,1/($B$1:B81=B82),$P$1:P81),0)/IFERROR(LOOKUP(2,1/($B$1:B81=B82),$O$1:O81),0)*$E82,0),"return_of_capital",IFERROR(LOOKUP(2,1/($B$1:B81=B82),$P$1:P81),0)-ABS($M82),"split",IFERROR(LOOKUP(2,1/($B$1:B81=B82),$P$1:P81),0),IFERROR(LOOKUP(2,1/($B$1:B81=B82),$P$1:P81),0)))</x:f>
      </x:c>
      <x:c r="Q82" t="str">
        <x:f>IFERROR($P82/$O82,"")</x:f>
      </x:c>
      <x:c r="R82" t="str">
        <x:f>IF(LOWER($D82)="sell",$M82-$N82-IFERROR(IFERROR(LOOKUP(2,1/($B$1:B81=B82),$P$1:P81),0)/IFERROR(LOOKUP(2,1/($B$1:B81=B82),$O$1:O81),0)*$E82,0),"")</x:f>
      </x:c>
      <x:c r="S82" t="str">
        <x:f>IF(COUNTA($A82:$D82)=0,"",IF($B82="","Missing symbol",IF($D82="","Missing action",IF(AND(LOWER($D82)="sell",$E82&gt;IFERROR(LOOKUP(2,1/($B$1:B81=B82),$O$1:O81),0)),"Sold more units than available","OK"))))</x:f>
      </x:c>
    </x:row>
    <x:row r="83">
      <x:c r="M83" t="str">
        <x:f>IF(COUNTA($A83:$D83)=0,"",IF($G83&lt;&gt;"",$G83,IF(AND($E83&lt;&gt;"",$F83&lt;&gt;""),$E83*$F83,""))*IF($J83&lt;&gt;"",$J83,1))</x:f>
      </x:c>
      <x:c r="N83" t="str">
        <x:f>IF(COUNTA($A83:$D83)=0,"",IF($H83&lt;&gt;"",$H83,0)*IF($J83&lt;&gt;"",$J83,1))</x:f>
      </x:c>
      <x:c r="O83" t="str">
        <x:f>IF(COUNTA($A83:$D83)=0,"",SWITCH(LOWER($D83),"buy",IFERROR(LOOKUP(2,1/($B$1:B82=B83),$O$1:O82),0)+$E83,"drip",IFERROR(LOOKUP(2,1/($B$1:B82=B83),$O$1:O82),0)+$E83,"sell",IFERROR(LOOKUP(2,1/($B$1:B82=B83),$O$1:O82),0)-$E83,"return_of_capital",IFERROR(LOOKUP(2,1/($B$1:B82=B83),$O$1:O82),0),"split",$E83,IFERROR(LOOKUP(2,1/($B$1:B82=B83),$O$1:O82),0)))</x:f>
      </x:c>
      <x:c r="P83" t="str">
        <x:f>IF(COUNTA($A83:$D83)=0,"",SWITCH(LOWER($D83),"buy",IFERROR(LOOKUP(2,1/($B$1:B82=B83),$P$1:P82),0)+$M83+$N83,"drip",IFERROR(LOOKUP(2,1/($B$1:B82=B83),$P$1:P82),0)+$M83+$N83,"sell",IFERROR(LOOKUP(2,1/($B$1:B82=B83),$P$1:P82),0)-IFERROR(IFERROR(LOOKUP(2,1/($B$1:B82=B83),$P$1:P82),0)/IFERROR(LOOKUP(2,1/($B$1:B82=B83),$O$1:O82),0)*$E83,0),"return_of_capital",IFERROR(LOOKUP(2,1/($B$1:B82=B83),$P$1:P82),0)-ABS($M83),"split",IFERROR(LOOKUP(2,1/($B$1:B82=B83),$P$1:P82),0),IFERROR(LOOKUP(2,1/($B$1:B82=B83),$P$1:P82),0)))</x:f>
      </x:c>
      <x:c r="Q83" t="str">
        <x:f>IFERROR($P83/$O83,"")</x:f>
      </x:c>
      <x:c r="R83" t="str">
        <x:f>IF(LOWER($D83)="sell",$M83-$N83-IFERROR(IFERROR(LOOKUP(2,1/($B$1:B82=B83),$P$1:P82),0)/IFERROR(LOOKUP(2,1/($B$1:B82=B83),$O$1:O82),0)*$E83,0),"")</x:f>
      </x:c>
      <x:c r="S83" t="str">
        <x:f>IF(COUNTA($A83:$D83)=0,"",IF($B83="","Missing symbol",IF($D83="","Missing action",IF(AND(LOWER($D83)="sell",$E83&gt;IFERROR(LOOKUP(2,1/($B$1:B82=B83),$O$1:O82),0)),"Sold more units than available","OK"))))</x:f>
      </x:c>
    </x:row>
    <x:row r="84">
      <x:c r="M84" t="str">
        <x:f>IF(COUNTA($A84:$D84)=0,"",IF($G84&lt;&gt;"",$G84,IF(AND($E84&lt;&gt;"",$F84&lt;&gt;""),$E84*$F84,""))*IF($J84&lt;&gt;"",$J84,1))</x:f>
      </x:c>
      <x:c r="N84" t="str">
        <x:f>IF(COUNTA($A84:$D84)=0,"",IF($H84&lt;&gt;"",$H84,0)*IF($J84&lt;&gt;"",$J84,1))</x:f>
      </x:c>
      <x:c r="O84" t="str">
        <x:f>IF(COUNTA($A84:$D84)=0,"",SWITCH(LOWER($D84),"buy",IFERROR(LOOKUP(2,1/($B$1:B83=B84),$O$1:O83),0)+$E84,"drip",IFERROR(LOOKUP(2,1/($B$1:B83=B84),$O$1:O83),0)+$E84,"sell",IFERROR(LOOKUP(2,1/($B$1:B83=B84),$O$1:O83),0)-$E84,"return_of_capital",IFERROR(LOOKUP(2,1/($B$1:B83=B84),$O$1:O83),0),"split",$E84,IFERROR(LOOKUP(2,1/($B$1:B83=B84),$O$1:O83),0)))</x:f>
      </x:c>
      <x:c r="P84" t="str">
        <x:f>IF(COUNTA($A84:$D84)=0,"",SWITCH(LOWER($D84),"buy",IFERROR(LOOKUP(2,1/($B$1:B83=B84),$P$1:P83),0)+$M84+$N84,"drip",IFERROR(LOOKUP(2,1/($B$1:B83=B84),$P$1:P83),0)+$M84+$N84,"sell",IFERROR(LOOKUP(2,1/($B$1:B83=B84),$P$1:P83),0)-IFERROR(IFERROR(LOOKUP(2,1/($B$1:B83=B84),$P$1:P83),0)/IFERROR(LOOKUP(2,1/($B$1:B83=B84),$O$1:O83),0)*$E84,0),"return_of_capital",IFERROR(LOOKUP(2,1/($B$1:B83=B84),$P$1:P83),0)-ABS($M84),"split",IFERROR(LOOKUP(2,1/($B$1:B83=B84),$P$1:P83),0),IFERROR(LOOKUP(2,1/($B$1:B83=B84),$P$1:P83),0)))</x:f>
      </x:c>
      <x:c r="Q84" t="str">
        <x:f>IFERROR($P84/$O84,"")</x:f>
      </x:c>
      <x:c r="R84" t="str">
        <x:f>IF(LOWER($D84)="sell",$M84-$N84-IFERROR(IFERROR(LOOKUP(2,1/($B$1:B83=B84),$P$1:P83),0)/IFERROR(LOOKUP(2,1/($B$1:B83=B84),$O$1:O83),0)*$E84,0),"")</x:f>
      </x:c>
      <x:c r="S84" t="str">
        <x:f>IF(COUNTA($A84:$D84)=0,"",IF($B84="","Missing symbol",IF($D84="","Missing action",IF(AND(LOWER($D84)="sell",$E84&gt;IFERROR(LOOKUP(2,1/($B$1:B83=B84),$O$1:O83),0)),"Sold more units than available","OK"))))</x:f>
      </x:c>
    </x:row>
    <x:row r="85">
      <x:c r="M85" t="str">
        <x:f>IF(COUNTA($A85:$D85)=0,"",IF($G85&lt;&gt;"",$G85,IF(AND($E85&lt;&gt;"",$F85&lt;&gt;""),$E85*$F85,""))*IF($J85&lt;&gt;"",$J85,1))</x:f>
      </x:c>
      <x:c r="N85" t="str">
        <x:f>IF(COUNTA($A85:$D85)=0,"",IF($H85&lt;&gt;"",$H85,0)*IF($J85&lt;&gt;"",$J85,1))</x:f>
      </x:c>
      <x:c r="O85" t="str">
        <x:f>IF(COUNTA($A85:$D85)=0,"",SWITCH(LOWER($D85),"buy",IFERROR(LOOKUP(2,1/($B$1:B84=B85),$O$1:O84),0)+$E85,"drip",IFERROR(LOOKUP(2,1/($B$1:B84=B85),$O$1:O84),0)+$E85,"sell",IFERROR(LOOKUP(2,1/($B$1:B84=B85),$O$1:O84),0)-$E85,"return_of_capital",IFERROR(LOOKUP(2,1/($B$1:B84=B85),$O$1:O84),0),"split",$E85,IFERROR(LOOKUP(2,1/($B$1:B84=B85),$O$1:O84),0)))</x:f>
      </x:c>
      <x:c r="P85" t="str">
        <x:f>IF(COUNTA($A85:$D85)=0,"",SWITCH(LOWER($D85),"buy",IFERROR(LOOKUP(2,1/($B$1:B84=B85),$P$1:P84),0)+$M85+$N85,"drip",IFERROR(LOOKUP(2,1/($B$1:B84=B85),$P$1:P84),0)+$M85+$N85,"sell",IFERROR(LOOKUP(2,1/($B$1:B84=B85),$P$1:P84),0)-IFERROR(IFERROR(LOOKUP(2,1/($B$1:B84=B85),$P$1:P84),0)/IFERROR(LOOKUP(2,1/($B$1:B84=B85),$O$1:O84),0)*$E85,0),"return_of_capital",IFERROR(LOOKUP(2,1/($B$1:B84=B85),$P$1:P84),0)-ABS($M85),"split",IFERROR(LOOKUP(2,1/($B$1:B84=B85),$P$1:P84),0),IFERROR(LOOKUP(2,1/($B$1:B84=B85),$P$1:P84),0)))</x:f>
      </x:c>
      <x:c r="Q85" t="str">
        <x:f>IFERROR($P85/$O85,"")</x:f>
      </x:c>
      <x:c r="R85" t="str">
        <x:f>IF(LOWER($D85)="sell",$M85-$N85-IFERROR(IFERROR(LOOKUP(2,1/($B$1:B84=B85),$P$1:P84),0)/IFERROR(LOOKUP(2,1/($B$1:B84=B85),$O$1:O84),0)*$E85,0),"")</x:f>
      </x:c>
      <x:c r="S85" t="str">
        <x:f>IF(COUNTA($A85:$D85)=0,"",IF($B85="","Missing symbol",IF($D85="","Missing action",IF(AND(LOWER($D85)="sell",$E85&gt;IFERROR(LOOKUP(2,1/($B$1:B84=B85),$O$1:O84),0)),"Sold more units than available","OK"))))</x:f>
      </x:c>
    </x:row>
    <x:row r="86">
      <x:c r="M86" t="str">
        <x:f>IF(COUNTA($A86:$D86)=0,"",IF($G86&lt;&gt;"",$G86,IF(AND($E86&lt;&gt;"",$F86&lt;&gt;""),$E86*$F86,""))*IF($J86&lt;&gt;"",$J86,1))</x:f>
      </x:c>
      <x:c r="N86" t="str">
        <x:f>IF(COUNTA($A86:$D86)=0,"",IF($H86&lt;&gt;"",$H86,0)*IF($J86&lt;&gt;"",$J86,1))</x:f>
      </x:c>
      <x:c r="O86" t="str">
        <x:f>IF(COUNTA($A86:$D86)=0,"",SWITCH(LOWER($D86),"buy",IFERROR(LOOKUP(2,1/($B$1:B85=B86),$O$1:O85),0)+$E86,"drip",IFERROR(LOOKUP(2,1/($B$1:B85=B86),$O$1:O85),0)+$E86,"sell",IFERROR(LOOKUP(2,1/($B$1:B85=B86),$O$1:O85),0)-$E86,"return_of_capital",IFERROR(LOOKUP(2,1/($B$1:B85=B86),$O$1:O85),0),"split",$E86,IFERROR(LOOKUP(2,1/($B$1:B85=B86),$O$1:O85),0)))</x:f>
      </x:c>
      <x:c r="P86" t="str">
        <x:f>IF(COUNTA($A86:$D86)=0,"",SWITCH(LOWER($D86),"buy",IFERROR(LOOKUP(2,1/($B$1:B85=B86),$P$1:P85),0)+$M86+$N86,"drip",IFERROR(LOOKUP(2,1/($B$1:B85=B86),$P$1:P85),0)+$M86+$N86,"sell",IFERROR(LOOKUP(2,1/($B$1:B85=B86),$P$1:P85),0)-IFERROR(IFERROR(LOOKUP(2,1/($B$1:B85=B86),$P$1:P85),0)/IFERROR(LOOKUP(2,1/($B$1:B85=B86),$O$1:O85),0)*$E86,0),"return_of_capital",IFERROR(LOOKUP(2,1/($B$1:B85=B86),$P$1:P85),0)-ABS($M86),"split",IFERROR(LOOKUP(2,1/($B$1:B85=B86),$P$1:P85),0),IFERROR(LOOKUP(2,1/($B$1:B85=B86),$P$1:P85),0)))</x:f>
      </x:c>
      <x:c r="Q86" t="str">
        <x:f>IFERROR($P86/$O86,"")</x:f>
      </x:c>
      <x:c r="R86" t="str">
        <x:f>IF(LOWER($D86)="sell",$M86-$N86-IFERROR(IFERROR(LOOKUP(2,1/($B$1:B85=B86),$P$1:P85),0)/IFERROR(LOOKUP(2,1/($B$1:B85=B86),$O$1:O85),0)*$E86,0),"")</x:f>
      </x:c>
      <x:c r="S86" t="str">
        <x:f>IF(COUNTA($A86:$D86)=0,"",IF($B86="","Missing symbol",IF($D86="","Missing action",IF(AND(LOWER($D86)="sell",$E86&gt;IFERROR(LOOKUP(2,1/($B$1:B85=B86),$O$1:O85),0)),"Sold more units than available","OK"))))</x:f>
      </x:c>
    </x:row>
    <x:row r="87">
      <x:c r="M87" t="str">
        <x:f>IF(COUNTA($A87:$D87)=0,"",IF($G87&lt;&gt;"",$G87,IF(AND($E87&lt;&gt;"",$F87&lt;&gt;""),$E87*$F87,""))*IF($J87&lt;&gt;"",$J87,1))</x:f>
      </x:c>
      <x:c r="N87" t="str">
        <x:f>IF(COUNTA($A87:$D87)=0,"",IF($H87&lt;&gt;"",$H87,0)*IF($J87&lt;&gt;"",$J87,1))</x:f>
      </x:c>
      <x:c r="O87" t="str">
        <x:f>IF(COUNTA($A87:$D87)=0,"",SWITCH(LOWER($D87),"buy",IFERROR(LOOKUP(2,1/($B$1:B86=B87),$O$1:O86),0)+$E87,"drip",IFERROR(LOOKUP(2,1/($B$1:B86=B87),$O$1:O86),0)+$E87,"sell",IFERROR(LOOKUP(2,1/($B$1:B86=B87),$O$1:O86),0)-$E87,"return_of_capital",IFERROR(LOOKUP(2,1/($B$1:B86=B87),$O$1:O86),0),"split",$E87,IFERROR(LOOKUP(2,1/($B$1:B86=B87),$O$1:O86),0)))</x:f>
      </x:c>
      <x:c r="P87" t="str">
        <x:f>IF(COUNTA($A87:$D87)=0,"",SWITCH(LOWER($D87),"buy",IFERROR(LOOKUP(2,1/($B$1:B86=B87),$P$1:P86),0)+$M87+$N87,"drip",IFERROR(LOOKUP(2,1/($B$1:B86=B87),$P$1:P86),0)+$M87+$N87,"sell",IFERROR(LOOKUP(2,1/($B$1:B86=B87),$P$1:P86),0)-IFERROR(IFERROR(LOOKUP(2,1/($B$1:B86=B87),$P$1:P86),0)/IFERROR(LOOKUP(2,1/($B$1:B86=B87),$O$1:O86),0)*$E87,0),"return_of_capital",IFERROR(LOOKUP(2,1/($B$1:B86=B87),$P$1:P86),0)-ABS($M87),"split",IFERROR(LOOKUP(2,1/($B$1:B86=B87),$P$1:P86),0),IFERROR(LOOKUP(2,1/($B$1:B86=B87),$P$1:P86),0)))</x:f>
      </x:c>
      <x:c r="Q87" t="str">
        <x:f>IFERROR($P87/$O87,"")</x:f>
      </x:c>
      <x:c r="R87" t="str">
        <x:f>IF(LOWER($D87)="sell",$M87-$N87-IFERROR(IFERROR(LOOKUP(2,1/($B$1:B86=B87),$P$1:P86),0)/IFERROR(LOOKUP(2,1/($B$1:B86=B87),$O$1:O86),0)*$E87,0),"")</x:f>
      </x:c>
      <x:c r="S87" t="str">
        <x:f>IF(COUNTA($A87:$D87)=0,"",IF($B87="","Missing symbol",IF($D87="","Missing action",IF(AND(LOWER($D87)="sell",$E87&gt;IFERROR(LOOKUP(2,1/($B$1:B86=B87),$O$1:O86),0)),"Sold more units than available","OK"))))</x:f>
      </x:c>
    </x:row>
    <x:row r="88">
      <x:c r="M88" t="str">
        <x:f>IF(COUNTA($A88:$D88)=0,"",IF($G88&lt;&gt;"",$G88,IF(AND($E88&lt;&gt;"",$F88&lt;&gt;""),$E88*$F88,""))*IF($J88&lt;&gt;"",$J88,1))</x:f>
      </x:c>
      <x:c r="N88" t="str">
        <x:f>IF(COUNTA($A88:$D88)=0,"",IF($H88&lt;&gt;"",$H88,0)*IF($J88&lt;&gt;"",$J88,1))</x:f>
      </x:c>
      <x:c r="O88" t="str">
        <x:f>IF(COUNTA($A88:$D88)=0,"",SWITCH(LOWER($D88),"buy",IFERROR(LOOKUP(2,1/($B$1:B87=B88),$O$1:O87),0)+$E88,"drip",IFERROR(LOOKUP(2,1/($B$1:B87=B88),$O$1:O87),0)+$E88,"sell",IFERROR(LOOKUP(2,1/($B$1:B87=B88),$O$1:O87),0)-$E88,"return_of_capital",IFERROR(LOOKUP(2,1/($B$1:B87=B88),$O$1:O87),0),"split",$E88,IFERROR(LOOKUP(2,1/($B$1:B87=B88),$O$1:O87),0)))</x:f>
      </x:c>
      <x:c r="P88" t="str">
        <x:f>IF(COUNTA($A88:$D88)=0,"",SWITCH(LOWER($D88),"buy",IFERROR(LOOKUP(2,1/($B$1:B87=B88),$P$1:P87),0)+$M88+$N88,"drip",IFERROR(LOOKUP(2,1/($B$1:B87=B88),$P$1:P87),0)+$M88+$N88,"sell",IFERROR(LOOKUP(2,1/($B$1:B87=B88),$P$1:P87),0)-IFERROR(IFERROR(LOOKUP(2,1/($B$1:B87=B88),$P$1:P87),0)/IFERROR(LOOKUP(2,1/($B$1:B87=B88),$O$1:O87),0)*$E88,0),"return_of_capital",IFERROR(LOOKUP(2,1/($B$1:B87=B88),$P$1:P87),0)-ABS($M88),"split",IFERROR(LOOKUP(2,1/($B$1:B87=B88),$P$1:P87),0),IFERROR(LOOKUP(2,1/($B$1:B87=B88),$P$1:P87),0)))</x:f>
      </x:c>
      <x:c r="Q88" t="str">
        <x:f>IFERROR($P88/$O88,"")</x:f>
      </x:c>
      <x:c r="R88" t="str">
        <x:f>IF(LOWER($D88)="sell",$M88-$N88-IFERROR(IFERROR(LOOKUP(2,1/($B$1:B87=B88),$P$1:P87),0)/IFERROR(LOOKUP(2,1/($B$1:B87=B88),$O$1:O87),0)*$E88,0),"")</x:f>
      </x:c>
      <x:c r="S88" t="str">
        <x:f>IF(COUNTA($A88:$D88)=0,"",IF($B88="","Missing symbol",IF($D88="","Missing action",IF(AND(LOWER($D88)="sell",$E88&gt;IFERROR(LOOKUP(2,1/($B$1:B87=B88),$O$1:O87),0)),"Sold more units than available","OK"))))</x:f>
      </x:c>
    </x:row>
    <x:row r="89">
      <x:c r="M89" t="str">
        <x:f>IF(COUNTA($A89:$D89)=0,"",IF($G89&lt;&gt;"",$G89,IF(AND($E89&lt;&gt;"",$F89&lt;&gt;""),$E89*$F89,""))*IF($J89&lt;&gt;"",$J89,1))</x:f>
      </x:c>
      <x:c r="N89" t="str">
        <x:f>IF(COUNTA($A89:$D89)=0,"",IF($H89&lt;&gt;"",$H89,0)*IF($J89&lt;&gt;"",$J89,1))</x:f>
      </x:c>
      <x:c r="O89" t="str">
        <x:f>IF(COUNTA($A89:$D89)=0,"",SWITCH(LOWER($D89),"buy",IFERROR(LOOKUP(2,1/($B$1:B88=B89),$O$1:O88),0)+$E89,"drip",IFERROR(LOOKUP(2,1/($B$1:B88=B89),$O$1:O88),0)+$E89,"sell",IFERROR(LOOKUP(2,1/($B$1:B88=B89),$O$1:O88),0)-$E89,"return_of_capital",IFERROR(LOOKUP(2,1/($B$1:B88=B89),$O$1:O88),0),"split",$E89,IFERROR(LOOKUP(2,1/($B$1:B88=B89),$O$1:O88),0)))</x:f>
      </x:c>
      <x:c r="P89" t="str">
        <x:f>IF(COUNTA($A89:$D89)=0,"",SWITCH(LOWER($D89),"buy",IFERROR(LOOKUP(2,1/($B$1:B88=B89),$P$1:P88),0)+$M89+$N89,"drip",IFERROR(LOOKUP(2,1/($B$1:B88=B89),$P$1:P88),0)+$M89+$N89,"sell",IFERROR(LOOKUP(2,1/($B$1:B88=B89),$P$1:P88),0)-IFERROR(IFERROR(LOOKUP(2,1/($B$1:B88=B89),$P$1:P88),0)/IFERROR(LOOKUP(2,1/($B$1:B88=B89),$O$1:O88),0)*$E89,0),"return_of_capital",IFERROR(LOOKUP(2,1/($B$1:B88=B89),$P$1:P88),0)-ABS($M89),"split",IFERROR(LOOKUP(2,1/($B$1:B88=B89),$P$1:P88),0),IFERROR(LOOKUP(2,1/($B$1:B88=B89),$P$1:P88),0)))</x:f>
      </x:c>
      <x:c r="Q89" t="str">
        <x:f>IFERROR($P89/$O89,"")</x:f>
      </x:c>
      <x:c r="R89" t="str">
        <x:f>IF(LOWER($D89)="sell",$M89-$N89-IFERROR(IFERROR(LOOKUP(2,1/($B$1:B88=B89),$P$1:P88),0)/IFERROR(LOOKUP(2,1/($B$1:B88=B89),$O$1:O88),0)*$E89,0),"")</x:f>
      </x:c>
      <x:c r="S89" t="str">
        <x:f>IF(COUNTA($A89:$D89)=0,"",IF($B89="","Missing symbol",IF($D89="","Missing action",IF(AND(LOWER($D89)="sell",$E89&gt;IFERROR(LOOKUP(2,1/($B$1:B88=B89),$O$1:O88),0)),"Sold more units than available","OK"))))</x:f>
      </x:c>
    </x:row>
    <x:row r="90">
      <x:c r="M90" t="str">
        <x:f>IF(COUNTA($A90:$D90)=0,"",IF($G90&lt;&gt;"",$G90,IF(AND($E90&lt;&gt;"",$F90&lt;&gt;""),$E90*$F90,""))*IF($J90&lt;&gt;"",$J90,1))</x:f>
      </x:c>
      <x:c r="N90" t="str">
        <x:f>IF(COUNTA($A90:$D90)=0,"",IF($H90&lt;&gt;"",$H90,0)*IF($J90&lt;&gt;"",$J90,1))</x:f>
      </x:c>
      <x:c r="O90" t="str">
        <x:f>IF(COUNTA($A90:$D90)=0,"",SWITCH(LOWER($D90),"buy",IFERROR(LOOKUP(2,1/($B$1:B89=B90),$O$1:O89),0)+$E90,"drip",IFERROR(LOOKUP(2,1/($B$1:B89=B90),$O$1:O89),0)+$E90,"sell",IFERROR(LOOKUP(2,1/($B$1:B89=B90),$O$1:O89),0)-$E90,"return_of_capital",IFERROR(LOOKUP(2,1/($B$1:B89=B90),$O$1:O89),0),"split",$E90,IFERROR(LOOKUP(2,1/($B$1:B89=B90),$O$1:O89),0)))</x:f>
      </x:c>
      <x:c r="P90" t="str">
        <x:f>IF(COUNTA($A90:$D90)=0,"",SWITCH(LOWER($D90),"buy",IFERROR(LOOKUP(2,1/($B$1:B89=B90),$P$1:P89),0)+$M90+$N90,"drip",IFERROR(LOOKUP(2,1/($B$1:B89=B90),$P$1:P89),0)+$M90+$N90,"sell",IFERROR(LOOKUP(2,1/($B$1:B89=B90),$P$1:P89),0)-IFERROR(IFERROR(LOOKUP(2,1/($B$1:B89=B90),$P$1:P89),0)/IFERROR(LOOKUP(2,1/($B$1:B89=B90),$O$1:O89),0)*$E90,0),"return_of_capital",IFERROR(LOOKUP(2,1/($B$1:B89=B90),$P$1:P89),0)-ABS($M90),"split",IFERROR(LOOKUP(2,1/($B$1:B89=B90),$P$1:P89),0),IFERROR(LOOKUP(2,1/($B$1:B89=B90),$P$1:P89),0)))</x:f>
      </x:c>
      <x:c r="Q90" t="str">
        <x:f>IFERROR($P90/$O90,"")</x:f>
      </x:c>
      <x:c r="R90" t="str">
        <x:f>IF(LOWER($D90)="sell",$M90-$N90-IFERROR(IFERROR(LOOKUP(2,1/($B$1:B89=B90),$P$1:P89),0)/IFERROR(LOOKUP(2,1/($B$1:B89=B90),$O$1:O89),0)*$E90,0),"")</x:f>
      </x:c>
      <x:c r="S90" t="str">
        <x:f>IF(COUNTA($A90:$D90)=0,"",IF($B90="","Missing symbol",IF($D90="","Missing action",IF(AND(LOWER($D90)="sell",$E90&gt;IFERROR(LOOKUP(2,1/($B$1:B89=B90),$O$1:O89),0)),"Sold more units than available","OK"))))</x:f>
      </x:c>
    </x:row>
    <x:row r="91">
      <x:c r="M91" t="str">
        <x:f>IF(COUNTA($A91:$D91)=0,"",IF($G91&lt;&gt;"",$G91,IF(AND($E91&lt;&gt;"",$F91&lt;&gt;""),$E91*$F91,""))*IF($J91&lt;&gt;"",$J91,1))</x:f>
      </x:c>
      <x:c r="N91" t="str">
        <x:f>IF(COUNTA($A91:$D91)=0,"",IF($H91&lt;&gt;"",$H91,0)*IF($J91&lt;&gt;"",$J91,1))</x:f>
      </x:c>
      <x:c r="O91" t="str">
        <x:f>IF(COUNTA($A91:$D91)=0,"",SWITCH(LOWER($D91),"buy",IFERROR(LOOKUP(2,1/($B$1:B90=B91),$O$1:O90),0)+$E91,"drip",IFERROR(LOOKUP(2,1/($B$1:B90=B91),$O$1:O90),0)+$E91,"sell",IFERROR(LOOKUP(2,1/($B$1:B90=B91),$O$1:O90),0)-$E91,"return_of_capital",IFERROR(LOOKUP(2,1/($B$1:B90=B91),$O$1:O90),0),"split",$E91,IFERROR(LOOKUP(2,1/($B$1:B90=B91),$O$1:O90),0)))</x:f>
      </x:c>
      <x:c r="P91" t="str">
        <x:f>IF(COUNTA($A91:$D91)=0,"",SWITCH(LOWER($D91),"buy",IFERROR(LOOKUP(2,1/($B$1:B90=B91),$P$1:P90),0)+$M91+$N91,"drip",IFERROR(LOOKUP(2,1/($B$1:B90=B91),$P$1:P90),0)+$M91+$N91,"sell",IFERROR(LOOKUP(2,1/($B$1:B90=B91),$P$1:P90),0)-IFERROR(IFERROR(LOOKUP(2,1/($B$1:B90=B91),$P$1:P90),0)/IFERROR(LOOKUP(2,1/($B$1:B90=B91),$O$1:O90),0)*$E91,0),"return_of_capital",IFERROR(LOOKUP(2,1/($B$1:B90=B91),$P$1:P90),0)-ABS($M91),"split",IFERROR(LOOKUP(2,1/($B$1:B90=B91),$P$1:P90),0),IFERROR(LOOKUP(2,1/($B$1:B90=B91),$P$1:P90),0)))</x:f>
      </x:c>
      <x:c r="Q91" t="str">
        <x:f>IFERROR($P91/$O91,"")</x:f>
      </x:c>
      <x:c r="R91" t="str">
        <x:f>IF(LOWER($D91)="sell",$M91-$N91-IFERROR(IFERROR(LOOKUP(2,1/($B$1:B90=B91),$P$1:P90),0)/IFERROR(LOOKUP(2,1/($B$1:B90=B91),$O$1:O90),0)*$E91,0),"")</x:f>
      </x:c>
      <x:c r="S91" t="str">
        <x:f>IF(COUNTA($A91:$D91)=0,"",IF($B91="","Missing symbol",IF($D91="","Missing action",IF(AND(LOWER($D91)="sell",$E91&gt;IFERROR(LOOKUP(2,1/($B$1:B90=B91),$O$1:O90),0)),"Sold more units than available","OK"))))</x:f>
      </x:c>
    </x:row>
    <x:row r="92">
      <x:c r="M92" t="str">
        <x:f>IF(COUNTA($A92:$D92)=0,"",IF($G92&lt;&gt;"",$G92,IF(AND($E92&lt;&gt;"",$F92&lt;&gt;""),$E92*$F92,""))*IF($J92&lt;&gt;"",$J92,1))</x:f>
      </x:c>
      <x:c r="N92" t="str">
        <x:f>IF(COUNTA($A92:$D92)=0,"",IF($H92&lt;&gt;"",$H92,0)*IF($J92&lt;&gt;"",$J92,1))</x:f>
      </x:c>
      <x:c r="O92" t="str">
        <x:f>IF(COUNTA($A92:$D92)=0,"",SWITCH(LOWER($D92),"buy",IFERROR(LOOKUP(2,1/($B$1:B91=B92),$O$1:O91),0)+$E92,"drip",IFERROR(LOOKUP(2,1/($B$1:B91=B92),$O$1:O91),0)+$E92,"sell",IFERROR(LOOKUP(2,1/($B$1:B91=B92),$O$1:O91),0)-$E92,"return_of_capital",IFERROR(LOOKUP(2,1/($B$1:B91=B92),$O$1:O91),0),"split",$E92,IFERROR(LOOKUP(2,1/($B$1:B91=B92),$O$1:O91),0)))</x:f>
      </x:c>
      <x:c r="P92" t="str">
        <x:f>IF(COUNTA($A92:$D92)=0,"",SWITCH(LOWER($D92),"buy",IFERROR(LOOKUP(2,1/($B$1:B91=B92),$P$1:P91),0)+$M92+$N92,"drip",IFERROR(LOOKUP(2,1/($B$1:B91=B92),$P$1:P91),0)+$M92+$N92,"sell",IFERROR(LOOKUP(2,1/($B$1:B91=B92),$P$1:P91),0)-IFERROR(IFERROR(LOOKUP(2,1/($B$1:B91=B92),$P$1:P91),0)/IFERROR(LOOKUP(2,1/($B$1:B91=B92),$O$1:O91),0)*$E92,0),"return_of_capital",IFERROR(LOOKUP(2,1/($B$1:B91=B92),$P$1:P91),0)-ABS($M92),"split",IFERROR(LOOKUP(2,1/($B$1:B91=B92),$P$1:P91),0),IFERROR(LOOKUP(2,1/($B$1:B91=B92),$P$1:P91),0)))</x:f>
      </x:c>
      <x:c r="Q92" t="str">
        <x:f>IFERROR($P92/$O92,"")</x:f>
      </x:c>
      <x:c r="R92" t="str">
        <x:f>IF(LOWER($D92)="sell",$M92-$N92-IFERROR(IFERROR(LOOKUP(2,1/($B$1:B91=B92),$P$1:P91),0)/IFERROR(LOOKUP(2,1/($B$1:B91=B92),$O$1:O91),0)*$E92,0),"")</x:f>
      </x:c>
      <x:c r="S92" t="str">
        <x:f>IF(COUNTA($A92:$D92)=0,"",IF($B92="","Missing symbol",IF($D92="","Missing action",IF(AND(LOWER($D92)="sell",$E92&gt;IFERROR(LOOKUP(2,1/($B$1:B91=B92),$O$1:O91),0)),"Sold more units than available","OK"))))</x:f>
      </x:c>
    </x:row>
    <x:row r="93">
      <x:c r="M93" t="str">
        <x:f>IF(COUNTA($A93:$D93)=0,"",IF($G93&lt;&gt;"",$G93,IF(AND($E93&lt;&gt;"",$F93&lt;&gt;""),$E93*$F93,""))*IF($J93&lt;&gt;"",$J93,1))</x:f>
      </x:c>
      <x:c r="N93" t="str">
        <x:f>IF(COUNTA($A93:$D93)=0,"",IF($H93&lt;&gt;"",$H93,0)*IF($J93&lt;&gt;"",$J93,1))</x:f>
      </x:c>
      <x:c r="O93" t="str">
        <x:f>IF(COUNTA($A93:$D93)=0,"",SWITCH(LOWER($D93),"buy",IFERROR(LOOKUP(2,1/($B$1:B92=B93),$O$1:O92),0)+$E93,"drip",IFERROR(LOOKUP(2,1/($B$1:B92=B93),$O$1:O92),0)+$E93,"sell",IFERROR(LOOKUP(2,1/($B$1:B92=B93),$O$1:O92),0)-$E93,"return_of_capital",IFERROR(LOOKUP(2,1/($B$1:B92=B93),$O$1:O92),0),"split",$E93,IFERROR(LOOKUP(2,1/($B$1:B92=B93),$O$1:O92),0)))</x:f>
      </x:c>
      <x:c r="P93" t="str">
        <x:f>IF(COUNTA($A93:$D93)=0,"",SWITCH(LOWER($D93),"buy",IFERROR(LOOKUP(2,1/($B$1:B92=B93),$P$1:P92),0)+$M93+$N93,"drip",IFERROR(LOOKUP(2,1/($B$1:B92=B93),$P$1:P92),0)+$M93+$N93,"sell",IFERROR(LOOKUP(2,1/($B$1:B92=B93),$P$1:P92),0)-IFERROR(IFERROR(LOOKUP(2,1/($B$1:B92=B93),$P$1:P92),0)/IFERROR(LOOKUP(2,1/($B$1:B92=B93),$O$1:O92),0)*$E93,0),"return_of_capital",IFERROR(LOOKUP(2,1/($B$1:B92=B93),$P$1:P92),0)-ABS($M93),"split",IFERROR(LOOKUP(2,1/($B$1:B92=B93),$P$1:P92),0),IFERROR(LOOKUP(2,1/($B$1:B92=B93),$P$1:P92),0)))</x:f>
      </x:c>
      <x:c r="Q93" t="str">
        <x:f>IFERROR($P93/$O93,"")</x:f>
      </x:c>
      <x:c r="R93" t="str">
        <x:f>IF(LOWER($D93)="sell",$M93-$N93-IFERROR(IFERROR(LOOKUP(2,1/($B$1:B92=B93),$P$1:P92),0)/IFERROR(LOOKUP(2,1/($B$1:B92=B93),$O$1:O92),0)*$E93,0),"")</x:f>
      </x:c>
      <x:c r="S93" t="str">
        <x:f>IF(COUNTA($A93:$D93)=0,"",IF($B93="","Missing symbol",IF($D93="","Missing action",IF(AND(LOWER($D93)="sell",$E93&gt;IFERROR(LOOKUP(2,1/($B$1:B92=B93),$O$1:O92),0)),"Sold more units than available","OK"))))</x:f>
      </x:c>
    </x:row>
    <x:row r="94">
      <x:c r="M94" t="str">
        <x:f>IF(COUNTA($A94:$D94)=0,"",IF($G94&lt;&gt;"",$G94,IF(AND($E94&lt;&gt;"",$F94&lt;&gt;""),$E94*$F94,""))*IF($J94&lt;&gt;"",$J94,1))</x:f>
      </x:c>
      <x:c r="N94" t="str">
        <x:f>IF(COUNTA($A94:$D94)=0,"",IF($H94&lt;&gt;"",$H94,0)*IF($J94&lt;&gt;"",$J94,1))</x:f>
      </x:c>
      <x:c r="O94" t="str">
        <x:f>IF(COUNTA($A94:$D94)=0,"",SWITCH(LOWER($D94),"buy",IFERROR(LOOKUP(2,1/($B$1:B93=B94),$O$1:O93),0)+$E94,"drip",IFERROR(LOOKUP(2,1/($B$1:B93=B94),$O$1:O93),0)+$E94,"sell",IFERROR(LOOKUP(2,1/($B$1:B93=B94),$O$1:O93),0)-$E94,"return_of_capital",IFERROR(LOOKUP(2,1/($B$1:B93=B94),$O$1:O93),0),"split",$E94,IFERROR(LOOKUP(2,1/($B$1:B93=B94),$O$1:O93),0)))</x:f>
      </x:c>
      <x:c r="P94" t="str">
        <x:f>IF(COUNTA($A94:$D94)=0,"",SWITCH(LOWER($D94),"buy",IFERROR(LOOKUP(2,1/($B$1:B93=B94),$P$1:P93),0)+$M94+$N94,"drip",IFERROR(LOOKUP(2,1/($B$1:B93=B94),$P$1:P93),0)+$M94+$N94,"sell",IFERROR(LOOKUP(2,1/($B$1:B93=B94),$P$1:P93),0)-IFERROR(IFERROR(LOOKUP(2,1/($B$1:B93=B94),$P$1:P93),0)/IFERROR(LOOKUP(2,1/($B$1:B93=B94),$O$1:O93),0)*$E94,0),"return_of_capital",IFERROR(LOOKUP(2,1/($B$1:B93=B94),$P$1:P93),0)-ABS($M94),"split",IFERROR(LOOKUP(2,1/($B$1:B93=B94),$P$1:P93),0),IFERROR(LOOKUP(2,1/($B$1:B93=B94),$P$1:P93),0)))</x:f>
      </x:c>
      <x:c r="Q94" t="str">
        <x:f>IFERROR($P94/$O94,"")</x:f>
      </x:c>
      <x:c r="R94" t="str">
        <x:f>IF(LOWER($D94)="sell",$M94-$N94-IFERROR(IFERROR(LOOKUP(2,1/($B$1:B93=B94),$P$1:P93),0)/IFERROR(LOOKUP(2,1/($B$1:B93=B94),$O$1:O93),0)*$E94,0),"")</x:f>
      </x:c>
      <x:c r="S94" t="str">
        <x:f>IF(COUNTA($A94:$D94)=0,"",IF($B94="","Missing symbol",IF($D94="","Missing action",IF(AND(LOWER($D94)="sell",$E94&gt;IFERROR(LOOKUP(2,1/($B$1:B93=B94),$O$1:O93),0)),"Sold more units than available","OK"))))</x:f>
      </x:c>
    </x:row>
    <x:row r="95">
      <x:c r="M95" t="str">
        <x:f>IF(COUNTA($A95:$D95)=0,"",IF($G95&lt;&gt;"",$G95,IF(AND($E95&lt;&gt;"",$F95&lt;&gt;""),$E95*$F95,""))*IF($J95&lt;&gt;"",$J95,1))</x:f>
      </x:c>
      <x:c r="N95" t="str">
        <x:f>IF(COUNTA($A95:$D95)=0,"",IF($H95&lt;&gt;"",$H95,0)*IF($J95&lt;&gt;"",$J95,1))</x:f>
      </x:c>
      <x:c r="O95" t="str">
        <x:f>IF(COUNTA($A95:$D95)=0,"",SWITCH(LOWER($D95),"buy",IFERROR(LOOKUP(2,1/($B$1:B94=B95),$O$1:O94),0)+$E95,"drip",IFERROR(LOOKUP(2,1/($B$1:B94=B95),$O$1:O94),0)+$E95,"sell",IFERROR(LOOKUP(2,1/($B$1:B94=B95),$O$1:O94),0)-$E95,"return_of_capital",IFERROR(LOOKUP(2,1/($B$1:B94=B95),$O$1:O94),0),"split",$E95,IFERROR(LOOKUP(2,1/($B$1:B94=B95),$O$1:O94),0)))</x:f>
      </x:c>
      <x:c r="P95" t="str">
        <x:f>IF(COUNTA($A95:$D95)=0,"",SWITCH(LOWER($D95),"buy",IFERROR(LOOKUP(2,1/($B$1:B94=B95),$P$1:P94),0)+$M95+$N95,"drip",IFERROR(LOOKUP(2,1/($B$1:B94=B95),$P$1:P94),0)+$M95+$N95,"sell",IFERROR(LOOKUP(2,1/($B$1:B94=B95),$P$1:P94),0)-IFERROR(IFERROR(LOOKUP(2,1/($B$1:B94=B95),$P$1:P94),0)/IFERROR(LOOKUP(2,1/($B$1:B94=B95),$O$1:O94),0)*$E95,0),"return_of_capital",IFERROR(LOOKUP(2,1/($B$1:B94=B95),$P$1:P94),0)-ABS($M95),"split",IFERROR(LOOKUP(2,1/($B$1:B94=B95),$P$1:P94),0),IFERROR(LOOKUP(2,1/($B$1:B94=B95),$P$1:P94),0)))</x:f>
      </x:c>
      <x:c r="Q95" t="str">
        <x:f>IFERROR($P95/$O95,"")</x:f>
      </x:c>
      <x:c r="R95" t="str">
        <x:f>IF(LOWER($D95)="sell",$M95-$N95-IFERROR(IFERROR(LOOKUP(2,1/($B$1:B94=B95),$P$1:P94),0)/IFERROR(LOOKUP(2,1/($B$1:B94=B95),$O$1:O94),0)*$E95,0),"")</x:f>
      </x:c>
      <x:c r="S95" t="str">
        <x:f>IF(COUNTA($A95:$D95)=0,"",IF($B95="","Missing symbol",IF($D95="","Missing action",IF(AND(LOWER($D95)="sell",$E95&gt;IFERROR(LOOKUP(2,1/($B$1:B94=B95),$O$1:O94),0)),"Sold more units than available","OK"))))</x:f>
      </x:c>
    </x:row>
    <x:row r="96">
      <x:c r="M96" t="str">
        <x:f>IF(COUNTA($A96:$D96)=0,"",IF($G96&lt;&gt;"",$G96,IF(AND($E96&lt;&gt;"",$F96&lt;&gt;""),$E96*$F96,""))*IF($J96&lt;&gt;"",$J96,1))</x:f>
      </x:c>
      <x:c r="N96" t="str">
        <x:f>IF(COUNTA($A96:$D96)=0,"",IF($H96&lt;&gt;"",$H96,0)*IF($J96&lt;&gt;"",$J96,1))</x:f>
      </x:c>
      <x:c r="O96" t="str">
        <x:f>IF(COUNTA($A96:$D96)=0,"",SWITCH(LOWER($D96),"buy",IFERROR(LOOKUP(2,1/($B$1:B95=B96),$O$1:O95),0)+$E96,"drip",IFERROR(LOOKUP(2,1/($B$1:B95=B96),$O$1:O95),0)+$E96,"sell",IFERROR(LOOKUP(2,1/($B$1:B95=B96),$O$1:O95),0)-$E96,"return_of_capital",IFERROR(LOOKUP(2,1/($B$1:B95=B96),$O$1:O95),0),"split",$E96,IFERROR(LOOKUP(2,1/($B$1:B95=B96),$O$1:O95),0)))</x:f>
      </x:c>
      <x:c r="P96" t="str">
        <x:f>IF(COUNTA($A96:$D96)=0,"",SWITCH(LOWER($D96),"buy",IFERROR(LOOKUP(2,1/($B$1:B95=B96),$P$1:P95),0)+$M96+$N96,"drip",IFERROR(LOOKUP(2,1/($B$1:B95=B96),$P$1:P95),0)+$M96+$N96,"sell",IFERROR(LOOKUP(2,1/($B$1:B95=B96),$P$1:P95),0)-IFERROR(IFERROR(LOOKUP(2,1/($B$1:B95=B96),$P$1:P95),0)/IFERROR(LOOKUP(2,1/($B$1:B95=B96),$O$1:O95),0)*$E96,0),"return_of_capital",IFERROR(LOOKUP(2,1/($B$1:B95=B96),$P$1:P95),0)-ABS($M96),"split",IFERROR(LOOKUP(2,1/($B$1:B95=B96),$P$1:P95),0),IFERROR(LOOKUP(2,1/($B$1:B95=B96),$P$1:P95),0)))</x:f>
      </x:c>
      <x:c r="Q96" t="str">
        <x:f>IFERROR($P96/$O96,"")</x:f>
      </x:c>
      <x:c r="R96" t="str">
        <x:f>IF(LOWER($D96)="sell",$M96-$N96-IFERROR(IFERROR(LOOKUP(2,1/($B$1:B95=B96),$P$1:P95),0)/IFERROR(LOOKUP(2,1/($B$1:B95=B96),$O$1:O95),0)*$E96,0),"")</x:f>
      </x:c>
      <x:c r="S96" t="str">
        <x:f>IF(COUNTA($A96:$D96)=0,"",IF($B96="","Missing symbol",IF($D96="","Missing action",IF(AND(LOWER($D96)="sell",$E96&gt;IFERROR(LOOKUP(2,1/($B$1:B95=B96),$O$1:O95),0)),"Sold more units than available","OK"))))</x:f>
      </x:c>
    </x:row>
    <x:row r="97">
      <x:c r="M97" t="str">
        <x:f>IF(COUNTA($A97:$D97)=0,"",IF($G97&lt;&gt;"",$G97,IF(AND($E97&lt;&gt;"",$F97&lt;&gt;""),$E97*$F97,""))*IF($J97&lt;&gt;"",$J97,1))</x:f>
      </x:c>
      <x:c r="N97" t="str">
        <x:f>IF(COUNTA($A97:$D97)=0,"",IF($H97&lt;&gt;"",$H97,0)*IF($J97&lt;&gt;"",$J97,1))</x:f>
      </x:c>
      <x:c r="O97" t="str">
        <x:f>IF(COUNTA($A97:$D97)=0,"",SWITCH(LOWER($D97),"buy",IFERROR(LOOKUP(2,1/($B$1:B96=B97),$O$1:O96),0)+$E97,"drip",IFERROR(LOOKUP(2,1/($B$1:B96=B97),$O$1:O96),0)+$E97,"sell",IFERROR(LOOKUP(2,1/($B$1:B96=B97),$O$1:O96),0)-$E97,"return_of_capital",IFERROR(LOOKUP(2,1/($B$1:B96=B97),$O$1:O96),0),"split",$E97,IFERROR(LOOKUP(2,1/($B$1:B96=B97),$O$1:O96),0)))</x:f>
      </x:c>
      <x:c r="P97" t="str">
        <x:f>IF(COUNTA($A97:$D97)=0,"",SWITCH(LOWER($D97),"buy",IFERROR(LOOKUP(2,1/($B$1:B96=B97),$P$1:P96),0)+$M97+$N97,"drip",IFERROR(LOOKUP(2,1/($B$1:B96=B97),$P$1:P96),0)+$M97+$N97,"sell",IFERROR(LOOKUP(2,1/($B$1:B96=B97),$P$1:P96),0)-IFERROR(IFERROR(LOOKUP(2,1/($B$1:B96=B97),$P$1:P96),0)/IFERROR(LOOKUP(2,1/($B$1:B96=B97),$O$1:O96),0)*$E97,0),"return_of_capital",IFERROR(LOOKUP(2,1/($B$1:B96=B97),$P$1:P96),0)-ABS($M97),"split",IFERROR(LOOKUP(2,1/($B$1:B96=B97),$P$1:P96),0),IFERROR(LOOKUP(2,1/($B$1:B96=B97),$P$1:P96),0)))</x:f>
      </x:c>
      <x:c r="Q97" t="str">
        <x:f>IFERROR($P97/$O97,"")</x:f>
      </x:c>
      <x:c r="R97" t="str">
        <x:f>IF(LOWER($D97)="sell",$M97-$N97-IFERROR(IFERROR(LOOKUP(2,1/($B$1:B96=B97),$P$1:P96),0)/IFERROR(LOOKUP(2,1/($B$1:B96=B97),$O$1:O96),0)*$E97,0),"")</x:f>
      </x:c>
      <x:c r="S97" t="str">
        <x:f>IF(COUNTA($A97:$D97)=0,"",IF($B97="","Missing symbol",IF($D97="","Missing action",IF(AND(LOWER($D97)="sell",$E97&gt;IFERROR(LOOKUP(2,1/($B$1:B96=B97),$O$1:O96),0)),"Sold more units than available","OK"))))</x:f>
      </x:c>
    </x:row>
    <x:row r="98">
      <x:c r="M98" t="str">
        <x:f>IF(COUNTA($A98:$D98)=0,"",IF($G98&lt;&gt;"",$G98,IF(AND($E98&lt;&gt;"",$F98&lt;&gt;""),$E98*$F98,""))*IF($J98&lt;&gt;"",$J98,1))</x:f>
      </x:c>
      <x:c r="N98" t="str">
        <x:f>IF(COUNTA($A98:$D98)=0,"",IF($H98&lt;&gt;"",$H98,0)*IF($J98&lt;&gt;"",$J98,1))</x:f>
      </x:c>
      <x:c r="O98" t="str">
        <x:f>IF(COUNTA($A98:$D98)=0,"",SWITCH(LOWER($D98),"buy",IFERROR(LOOKUP(2,1/($B$1:B97=B98),$O$1:O97),0)+$E98,"drip",IFERROR(LOOKUP(2,1/($B$1:B97=B98),$O$1:O97),0)+$E98,"sell",IFERROR(LOOKUP(2,1/($B$1:B97=B98),$O$1:O97),0)-$E98,"return_of_capital",IFERROR(LOOKUP(2,1/($B$1:B97=B98),$O$1:O97),0),"split",$E98,IFERROR(LOOKUP(2,1/($B$1:B97=B98),$O$1:O97),0)))</x:f>
      </x:c>
      <x:c r="P98" t="str">
        <x:f>IF(COUNTA($A98:$D98)=0,"",SWITCH(LOWER($D98),"buy",IFERROR(LOOKUP(2,1/($B$1:B97=B98),$P$1:P97),0)+$M98+$N98,"drip",IFERROR(LOOKUP(2,1/($B$1:B97=B98),$P$1:P97),0)+$M98+$N98,"sell",IFERROR(LOOKUP(2,1/($B$1:B97=B98),$P$1:P97),0)-IFERROR(IFERROR(LOOKUP(2,1/($B$1:B97=B98),$P$1:P97),0)/IFERROR(LOOKUP(2,1/($B$1:B97=B98),$O$1:O97),0)*$E98,0),"return_of_capital",IFERROR(LOOKUP(2,1/($B$1:B97=B98),$P$1:P97),0)-ABS($M98),"split",IFERROR(LOOKUP(2,1/($B$1:B97=B98),$P$1:P97),0),IFERROR(LOOKUP(2,1/($B$1:B97=B98),$P$1:P97),0)))</x:f>
      </x:c>
      <x:c r="Q98" t="str">
        <x:f>IFERROR($P98/$O98,"")</x:f>
      </x:c>
      <x:c r="R98" t="str">
        <x:f>IF(LOWER($D98)="sell",$M98-$N98-IFERROR(IFERROR(LOOKUP(2,1/($B$1:B97=B98),$P$1:P97),0)/IFERROR(LOOKUP(2,1/($B$1:B97=B98),$O$1:O97),0)*$E98,0),"")</x:f>
      </x:c>
      <x:c r="S98" t="str">
        <x:f>IF(COUNTA($A98:$D98)=0,"",IF($B98="","Missing symbol",IF($D98="","Missing action",IF(AND(LOWER($D98)="sell",$E98&gt;IFERROR(LOOKUP(2,1/($B$1:B97=B98),$O$1:O97),0)),"Sold more units than available","OK"))))</x:f>
      </x:c>
    </x:row>
    <x:row r="99">
      <x:c r="M99" t="str">
        <x:f>IF(COUNTA($A99:$D99)=0,"",IF($G99&lt;&gt;"",$G99,IF(AND($E99&lt;&gt;"",$F99&lt;&gt;""),$E99*$F99,""))*IF($J99&lt;&gt;"",$J99,1))</x:f>
      </x:c>
      <x:c r="N99" t="str">
        <x:f>IF(COUNTA($A99:$D99)=0,"",IF($H99&lt;&gt;"",$H99,0)*IF($J99&lt;&gt;"",$J99,1))</x:f>
      </x:c>
      <x:c r="O99" t="str">
        <x:f>IF(COUNTA($A99:$D99)=0,"",SWITCH(LOWER($D99),"buy",IFERROR(LOOKUP(2,1/($B$1:B98=B99),$O$1:O98),0)+$E99,"drip",IFERROR(LOOKUP(2,1/($B$1:B98=B99),$O$1:O98),0)+$E99,"sell",IFERROR(LOOKUP(2,1/($B$1:B98=B99),$O$1:O98),0)-$E99,"return_of_capital",IFERROR(LOOKUP(2,1/($B$1:B98=B99),$O$1:O98),0),"split",$E99,IFERROR(LOOKUP(2,1/($B$1:B98=B99),$O$1:O98),0)))</x:f>
      </x:c>
      <x:c r="P99" t="str">
        <x:f>IF(COUNTA($A99:$D99)=0,"",SWITCH(LOWER($D99),"buy",IFERROR(LOOKUP(2,1/($B$1:B98=B99),$P$1:P98),0)+$M99+$N99,"drip",IFERROR(LOOKUP(2,1/($B$1:B98=B99),$P$1:P98),0)+$M99+$N99,"sell",IFERROR(LOOKUP(2,1/($B$1:B98=B99),$P$1:P98),0)-IFERROR(IFERROR(LOOKUP(2,1/($B$1:B98=B99),$P$1:P98),0)/IFERROR(LOOKUP(2,1/($B$1:B98=B99),$O$1:O98),0)*$E99,0),"return_of_capital",IFERROR(LOOKUP(2,1/($B$1:B98=B99),$P$1:P98),0)-ABS($M99),"split",IFERROR(LOOKUP(2,1/($B$1:B98=B99),$P$1:P98),0),IFERROR(LOOKUP(2,1/($B$1:B98=B99),$P$1:P98),0)))</x:f>
      </x:c>
      <x:c r="Q99" t="str">
        <x:f>IFERROR($P99/$O99,"")</x:f>
      </x:c>
      <x:c r="R99" t="str">
        <x:f>IF(LOWER($D99)="sell",$M99-$N99-IFERROR(IFERROR(LOOKUP(2,1/($B$1:B98=B99),$P$1:P98),0)/IFERROR(LOOKUP(2,1/($B$1:B98=B99),$O$1:O98),0)*$E99,0),"")</x:f>
      </x:c>
      <x:c r="S99" t="str">
        <x:f>IF(COUNTA($A99:$D99)=0,"",IF($B99="","Missing symbol",IF($D99="","Missing action",IF(AND(LOWER($D99)="sell",$E99&gt;IFERROR(LOOKUP(2,1/($B$1:B98=B99),$O$1:O98),0)),"Sold more units than available","OK"))))</x:f>
      </x:c>
    </x:row>
    <x:row r="100">
      <x:c r="M100" t="str">
        <x:f>IF(COUNTA($A100:$D100)=0,"",IF($G100&lt;&gt;"",$G100,IF(AND($E100&lt;&gt;"",$F100&lt;&gt;""),$E100*$F100,""))*IF($J100&lt;&gt;"",$J100,1))</x:f>
      </x:c>
      <x:c r="N100" t="str">
        <x:f>IF(COUNTA($A100:$D100)=0,"",IF($H100&lt;&gt;"",$H100,0)*IF($J100&lt;&gt;"",$J100,1))</x:f>
      </x:c>
      <x:c r="O100" t="str">
        <x:f>IF(COUNTA($A100:$D100)=0,"",SWITCH(LOWER($D100),"buy",IFERROR(LOOKUP(2,1/($B$1:B99=B100),$O$1:O99),0)+$E100,"drip",IFERROR(LOOKUP(2,1/($B$1:B99=B100),$O$1:O99),0)+$E100,"sell",IFERROR(LOOKUP(2,1/($B$1:B99=B100),$O$1:O99),0)-$E100,"return_of_capital",IFERROR(LOOKUP(2,1/($B$1:B99=B100),$O$1:O99),0),"split",$E100,IFERROR(LOOKUP(2,1/($B$1:B99=B100),$O$1:O99),0)))</x:f>
      </x:c>
      <x:c r="P100" t="str">
        <x:f>IF(COUNTA($A100:$D100)=0,"",SWITCH(LOWER($D100),"buy",IFERROR(LOOKUP(2,1/($B$1:B99=B100),$P$1:P99),0)+$M100+$N100,"drip",IFERROR(LOOKUP(2,1/($B$1:B99=B100),$P$1:P99),0)+$M100+$N100,"sell",IFERROR(LOOKUP(2,1/($B$1:B99=B100),$P$1:P99),0)-IFERROR(IFERROR(LOOKUP(2,1/($B$1:B99=B100),$P$1:P99),0)/IFERROR(LOOKUP(2,1/($B$1:B99=B100),$O$1:O99),0)*$E100,0),"return_of_capital",IFERROR(LOOKUP(2,1/($B$1:B99=B100),$P$1:P99),0)-ABS($M100),"split",IFERROR(LOOKUP(2,1/($B$1:B99=B100),$P$1:P99),0),IFERROR(LOOKUP(2,1/($B$1:B99=B100),$P$1:P99),0)))</x:f>
      </x:c>
      <x:c r="Q100" t="str">
        <x:f>IFERROR($P100/$O100,"")</x:f>
      </x:c>
      <x:c r="R100" t="str">
        <x:f>IF(LOWER($D100)="sell",$M100-$N100-IFERROR(IFERROR(LOOKUP(2,1/($B$1:B99=B100),$P$1:P99),0)/IFERROR(LOOKUP(2,1/($B$1:B99=B100),$O$1:O99),0)*$E100,0),"")</x:f>
      </x:c>
      <x:c r="S100" t="str">
        <x:f>IF(COUNTA($A100:$D100)=0,"",IF($B100="","Missing symbol",IF($D100="","Missing action",IF(AND(LOWER($D100)="sell",$E100&gt;IFERROR(LOOKUP(2,1/($B$1:B99=B100),$O$1:O99),0)),"Sold more units than available","OK"))))</x:f>
      </x:c>
    </x:row>
    <x:row r="101">
      <x:c r="M101" t="str">
        <x:f>IF(COUNTA($A101:$D101)=0,"",IF($G101&lt;&gt;"",$G101,IF(AND($E101&lt;&gt;"",$F101&lt;&gt;""),$E101*$F101,""))*IF($J101&lt;&gt;"",$J101,1))</x:f>
      </x:c>
      <x:c r="N101" t="str">
        <x:f>IF(COUNTA($A101:$D101)=0,"",IF($H101&lt;&gt;"",$H101,0)*IF($J101&lt;&gt;"",$J101,1))</x:f>
      </x:c>
      <x:c r="O101" t="str">
        <x:f>IF(COUNTA($A101:$D101)=0,"",SWITCH(LOWER($D101),"buy",IFERROR(LOOKUP(2,1/($B$1:B100=B101),$O$1:O100),0)+$E101,"drip",IFERROR(LOOKUP(2,1/($B$1:B100=B101),$O$1:O100),0)+$E101,"sell",IFERROR(LOOKUP(2,1/($B$1:B100=B101),$O$1:O100),0)-$E101,"return_of_capital",IFERROR(LOOKUP(2,1/($B$1:B100=B101),$O$1:O100),0),"split",$E101,IFERROR(LOOKUP(2,1/($B$1:B100=B101),$O$1:O100),0)))</x:f>
      </x:c>
      <x:c r="P101" t="str">
        <x:f>IF(COUNTA($A101:$D101)=0,"",SWITCH(LOWER($D101),"buy",IFERROR(LOOKUP(2,1/($B$1:B100=B101),$P$1:P100),0)+$M101+$N101,"drip",IFERROR(LOOKUP(2,1/($B$1:B100=B101),$P$1:P100),0)+$M101+$N101,"sell",IFERROR(LOOKUP(2,1/($B$1:B100=B101),$P$1:P100),0)-IFERROR(IFERROR(LOOKUP(2,1/($B$1:B100=B101),$P$1:P100),0)/IFERROR(LOOKUP(2,1/($B$1:B100=B101),$O$1:O100),0)*$E101,0),"return_of_capital",IFERROR(LOOKUP(2,1/($B$1:B100=B101),$P$1:P100),0)-ABS($M101),"split",IFERROR(LOOKUP(2,1/($B$1:B100=B101),$P$1:P100),0),IFERROR(LOOKUP(2,1/($B$1:B100=B101),$P$1:P100),0)))</x:f>
      </x:c>
      <x:c r="Q101" t="str">
        <x:f>IFERROR($P101/$O101,"")</x:f>
      </x:c>
      <x:c r="R101" t="str">
        <x:f>IF(LOWER($D101)="sell",$M101-$N101-IFERROR(IFERROR(LOOKUP(2,1/($B$1:B100=B101),$P$1:P100),0)/IFERROR(LOOKUP(2,1/($B$1:B100=B101),$O$1:O100),0)*$E101,0),"")</x:f>
      </x:c>
      <x:c r="S101" t="str">
        <x:f>IF(COUNTA($A101:$D101)=0,"",IF($B101="","Missing symbol",IF($D101="","Missing action",IF(AND(LOWER($D101)="sell",$E101&gt;IFERROR(LOOKUP(2,1/($B$1:B100=B101),$O$1:O100),0)),"Sold more units than available","OK"))))</x:f>
      </x:c>
    </x:row>
    <x:row r="102">
      <x:c r="M102" t="str">
        <x:f>IF(COUNTA($A102:$D102)=0,"",IF($G102&lt;&gt;"",$G102,IF(AND($E102&lt;&gt;"",$F102&lt;&gt;""),$E102*$F102,""))*IF($J102&lt;&gt;"",$J102,1))</x:f>
      </x:c>
      <x:c r="N102" t="str">
        <x:f>IF(COUNTA($A102:$D102)=0,"",IF($H102&lt;&gt;"",$H102,0)*IF($J102&lt;&gt;"",$J102,1))</x:f>
      </x:c>
      <x:c r="O102" t="str">
        <x:f>IF(COUNTA($A102:$D102)=0,"",SWITCH(LOWER($D102),"buy",IFERROR(LOOKUP(2,1/($B$1:B101=B102),$O$1:O101),0)+$E102,"drip",IFERROR(LOOKUP(2,1/($B$1:B101=B102),$O$1:O101),0)+$E102,"sell",IFERROR(LOOKUP(2,1/($B$1:B101=B102),$O$1:O101),0)-$E102,"return_of_capital",IFERROR(LOOKUP(2,1/($B$1:B101=B102),$O$1:O101),0),"split",$E102,IFERROR(LOOKUP(2,1/($B$1:B101=B102),$O$1:O101),0)))</x:f>
      </x:c>
      <x:c r="P102" t="str">
        <x:f>IF(COUNTA($A102:$D102)=0,"",SWITCH(LOWER($D102),"buy",IFERROR(LOOKUP(2,1/($B$1:B101=B102),$P$1:P101),0)+$M102+$N102,"drip",IFERROR(LOOKUP(2,1/($B$1:B101=B102),$P$1:P101),0)+$M102+$N102,"sell",IFERROR(LOOKUP(2,1/($B$1:B101=B102),$P$1:P101),0)-IFERROR(IFERROR(LOOKUP(2,1/($B$1:B101=B102),$P$1:P101),0)/IFERROR(LOOKUP(2,1/($B$1:B101=B102),$O$1:O101),0)*$E102,0),"return_of_capital",IFERROR(LOOKUP(2,1/($B$1:B101=B102),$P$1:P101),0)-ABS($M102),"split",IFERROR(LOOKUP(2,1/($B$1:B101=B102),$P$1:P101),0),IFERROR(LOOKUP(2,1/($B$1:B101=B102),$P$1:P101),0)))</x:f>
      </x:c>
      <x:c r="Q102" t="str">
        <x:f>IFERROR($P102/$O102,"")</x:f>
      </x:c>
      <x:c r="R102" t="str">
        <x:f>IF(LOWER($D102)="sell",$M102-$N102-IFERROR(IFERROR(LOOKUP(2,1/($B$1:B101=B102),$P$1:P101),0)/IFERROR(LOOKUP(2,1/($B$1:B101=B102),$O$1:O101),0)*$E102,0),"")</x:f>
      </x:c>
      <x:c r="S102" t="str">
        <x:f>IF(COUNTA($A102:$D102)=0,"",IF($B102="","Missing symbol",IF($D102="","Missing action",IF(AND(LOWER($D102)="sell",$E102&gt;IFERROR(LOOKUP(2,1/($B$1:B101=B102),$O$1:O101),0)),"Sold more units than available","OK"))))</x:f>
      </x:c>
    </x:row>
    <x:row r="103">
      <x:c r="M103" t="str">
        <x:f>IF(COUNTA($A103:$D103)=0,"",IF($G103&lt;&gt;"",$G103,IF(AND($E103&lt;&gt;"",$F103&lt;&gt;""),$E103*$F103,""))*IF($J103&lt;&gt;"",$J103,1))</x:f>
      </x:c>
      <x:c r="N103" t="str">
        <x:f>IF(COUNTA($A103:$D103)=0,"",IF($H103&lt;&gt;"",$H103,0)*IF($J103&lt;&gt;"",$J103,1))</x:f>
      </x:c>
      <x:c r="O103" t="str">
        <x:f>IF(COUNTA($A103:$D103)=0,"",SWITCH(LOWER($D103),"buy",IFERROR(LOOKUP(2,1/($B$1:B102=B103),$O$1:O102),0)+$E103,"drip",IFERROR(LOOKUP(2,1/($B$1:B102=B103),$O$1:O102),0)+$E103,"sell",IFERROR(LOOKUP(2,1/($B$1:B102=B103),$O$1:O102),0)-$E103,"return_of_capital",IFERROR(LOOKUP(2,1/($B$1:B102=B103),$O$1:O102),0),"split",$E103,IFERROR(LOOKUP(2,1/($B$1:B102=B103),$O$1:O102),0)))</x:f>
      </x:c>
      <x:c r="P103" t="str">
        <x:f>IF(COUNTA($A103:$D103)=0,"",SWITCH(LOWER($D103),"buy",IFERROR(LOOKUP(2,1/($B$1:B102=B103),$P$1:P102),0)+$M103+$N103,"drip",IFERROR(LOOKUP(2,1/($B$1:B102=B103),$P$1:P102),0)+$M103+$N103,"sell",IFERROR(LOOKUP(2,1/($B$1:B102=B103),$P$1:P102),0)-IFERROR(IFERROR(LOOKUP(2,1/($B$1:B102=B103),$P$1:P102),0)/IFERROR(LOOKUP(2,1/($B$1:B102=B103),$O$1:O102),0)*$E103,0),"return_of_capital",IFERROR(LOOKUP(2,1/($B$1:B102=B103),$P$1:P102),0)-ABS($M103),"split",IFERROR(LOOKUP(2,1/($B$1:B102=B103),$P$1:P102),0),IFERROR(LOOKUP(2,1/($B$1:B102=B103),$P$1:P102),0)))</x:f>
      </x:c>
      <x:c r="Q103" t="str">
        <x:f>IFERROR($P103/$O103,"")</x:f>
      </x:c>
      <x:c r="R103" t="str">
        <x:f>IF(LOWER($D103)="sell",$M103-$N103-IFERROR(IFERROR(LOOKUP(2,1/($B$1:B102=B103),$P$1:P102),0)/IFERROR(LOOKUP(2,1/($B$1:B102=B103),$O$1:O102),0)*$E103,0),"")</x:f>
      </x:c>
      <x:c r="S103" t="str">
        <x:f>IF(COUNTA($A103:$D103)=0,"",IF($B103="","Missing symbol",IF($D103="","Missing action",IF(AND(LOWER($D103)="sell",$E103&gt;IFERROR(LOOKUP(2,1/($B$1:B102=B103),$O$1:O102),0)),"Sold more units than available","OK"))))</x:f>
      </x:c>
    </x:row>
    <x:row r="104">
      <x:c r="M104" t="str">
        <x:f>IF(COUNTA($A104:$D104)=0,"",IF($G104&lt;&gt;"",$G104,IF(AND($E104&lt;&gt;"",$F104&lt;&gt;""),$E104*$F104,""))*IF($J104&lt;&gt;"",$J104,1))</x:f>
      </x:c>
      <x:c r="N104" t="str">
        <x:f>IF(COUNTA($A104:$D104)=0,"",IF($H104&lt;&gt;"",$H104,0)*IF($J104&lt;&gt;"",$J104,1))</x:f>
      </x:c>
      <x:c r="O104" t="str">
        <x:f>IF(COUNTA($A104:$D104)=0,"",SWITCH(LOWER($D104),"buy",IFERROR(LOOKUP(2,1/($B$1:B103=B104),$O$1:O103),0)+$E104,"drip",IFERROR(LOOKUP(2,1/($B$1:B103=B104),$O$1:O103),0)+$E104,"sell",IFERROR(LOOKUP(2,1/($B$1:B103=B104),$O$1:O103),0)-$E104,"return_of_capital",IFERROR(LOOKUP(2,1/($B$1:B103=B104),$O$1:O103),0),"split",$E104,IFERROR(LOOKUP(2,1/($B$1:B103=B104),$O$1:O103),0)))</x:f>
      </x:c>
      <x:c r="P104" t="str">
        <x:f>IF(COUNTA($A104:$D104)=0,"",SWITCH(LOWER($D104),"buy",IFERROR(LOOKUP(2,1/($B$1:B103=B104),$P$1:P103),0)+$M104+$N104,"drip",IFERROR(LOOKUP(2,1/($B$1:B103=B104),$P$1:P103),0)+$M104+$N104,"sell",IFERROR(LOOKUP(2,1/($B$1:B103=B104),$P$1:P103),0)-IFERROR(IFERROR(LOOKUP(2,1/($B$1:B103=B104),$P$1:P103),0)/IFERROR(LOOKUP(2,1/($B$1:B103=B104),$O$1:O103),0)*$E104,0),"return_of_capital",IFERROR(LOOKUP(2,1/($B$1:B103=B104),$P$1:P103),0)-ABS($M104),"split",IFERROR(LOOKUP(2,1/($B$1:B103=B104),$P$1:P103),0),IFERROR(LOOKUP(2,1/($B$1:B103=B104),$P$1:P103),0)))</x:f>
      </x:c>
      <x:c r="Q104" t="str">
        <x:f>IFERROR($P104/$O104,"")</x:f>
      </x:c>
      <x:c r="R104" t="str">
        <x:f>IF(LOWER($D104)="sell",$M104-$N104-IFERROR(IFERROR(LOOKUP(2,1/($B$1:B103=B104),$P$1:P103),0)/IFERROR(LOOKUP(2,1/($B$1:B103=B104),$O$1:O103),0)*$E104,0),"")</x:f>
      </x:c>
      <x:c r="S104" t="str">
        <x:f>IF(COUNTA($A104:$D104)=0,"",IF($B104="","Missing symbol",IF($D104="","Missing action",IF(AND(LOWER($D104)="sell",$E104&gt;IFERROR(LOOKUP(2,1/($B$1:B103=B104),$O$1:O103),0)),"Sold more units than available","OK"))))</x:f>
      </x:c>
    </x:row>
    <x:row r="105">
      <x:c r="M105" t="str">
        <x:f>IF(COUNTA($A105:$D105)=0,"",IF($G105&lt;&gt;"",$G105,IF(AND($E105&lt;&gt;"",$F105&lt;&gt;""),$E105*$F105,""))*IF($J105&lt;&gt;"",$J105,1))</x:f>
      </x:c>
      <x:c r="N105" t="str">
        <x:f>IF(COUNTA($A105:$D105)=0,"",IF($H105&lt;&gt;"",$H105,0)*IF($J105&lt;&gt;"",$J105,1))</x:f>
      </x:c>
      <x:c r="O105" t="str">
        <x:f>IF(COUNTA($A105:$D105)=0,"",SWITCH(LOWER($D105),"buy",IFERROR(LOOKUP(2,1/($B$1:B104=B105),$O$1:O104),0)+$E105,"drip",IFERROR(LOOKUP(2,1/($B$1:B104=B105),$O$1:O104),0)+$E105,"sell",IFERROR(LOOKUP(2,1/($B$1:B104=B105),$O$1:O104),0)-$E105,"return_of_capital",IFERROR(LOOKUP(2,1/($B$1:B104=B105),$O$1:O104),0),"split",$E105,IFERROR(LOOKUP(2,1/($B$1:B104=B105),$O$1:O104),0)))</x:f>
      </x:c>
      <x:c r="P105" t="str">
        <x:f>IF(COUNTA($A105:$D105)=0,"",SWITCH(LOWER($D105),"buy",IFERROR(LOOKUP(2,1/($B$1:B104=B105),$P$1:P104),0)+$M105+$N105,"drip",IFERROR(LOOKUP(2,1/($B$1:B104=B105),$P$1:P104),0)+$M105+$N105,"sell",IFERROR(LOOKUP(2,1/($B$1:B104=B105),$P$1:P104),0)-IFERROR(IFERROR(LOOKUP(2,1/($B$1:B104=B105),$P$1:P104),0)/IFERROR(LOOKUP(2,1/($B$1:B104=B105),$O$1:O104),0)*$E105,0),"return_of_capital",IFERROR(LOOKUP(2,1/($B$1:B104=B105),$P$1:P104),0)-ABS($M105),"split",IFERROR(LOOKUP(2,1/($B$1:B104=B105),$P$1:P104),0),IFERROR(LOOKUP(2,1/($B$1:B104=B105),$P$1:P104),0)))</x:f>
      </x:c>
      <x:c r="Q105" t="str">
        <x:f>IFERROR($P105/$O105,"")</x:f>
      </x:c>
      <x:c r="R105" t="str">
        <x:f>IF(LOWER($D105)="sell",$M105-$N105-IFERROR(IFERROR(LOOKUP(2,1/($B$1:B104=B105),$P$1:P104),0)/IFERROR(LOOKUP(2,1/($B$1:B104=B105),$O$1:O104),0)*$E105,0),"")</x:f>
      </x:c>
      <x:c r="S105" t="str">
        <x:f>IF(COUNTA($A105:$D105)=0,"",IF($B105="","Missing symbol",IF($D105="","Missing action",IF(AND(LOWER($D105)="sell",$E105&gt;IFERROR(LOOKUP(2,1/($B$1:B104=B105),$O$1:O104),0)),"Sold more units than available","OK"))))</x:f>
      </x:c>
    </x:row>
    <x:row r="106">
      <x:c r="M106" t="str">
        <x:f>IF(COUNTA($A106:$D106)=0,"",IF($G106&lt;&gt;"",$G106,IF(AND($E106&lt;&gt;"",$F106&lt;&gt;""),$E106*$F106,""))*IF($J106&lt;&gt;"",$J106,1))</x:f>
      </x:c>
      <x:c r="N106" t="str">
        <x:f>IF(COUNTA($A106:$D106)=0,"",IF($H106&lt;&gt;"",$H106,0)*IF($J106&lt;&gt;"",$J106,1))</x:f>
      </x:c>
      <x:c r="O106" t="str">
        <x:f>IF(COUNTA($A106:$D106)=0,"",SWITCH(LOWER($D106),"buy",IFERROR(LOOKUP(2,1/($B$1:B105=B106),$O$1:O105),0)+$E106,"drip",IFERROR(LOOKUP(2,1/($B$1:B105=B106),$O$1:O105),0)+$E106,"sell",IFERROR(LOOKUP(2,1/($B$1:B105=B106),$O$1:O105),0)-$E106,"return_of_capital",IFERROR(LOOKUP(2,1/($B$1:B105=B106),$O$1:O105),0),"split",$E106,IFERROR(LOOKUP(2,1/($B$1:B105=B106),$O$1:O105),0)))</x:f>
      </x:c>
      <x:c r="P106" t="str">
        <x:f>IF(COUNTA($A106:$D106)=0,"",SWITCH(LOWER($D106),"buy",IFERROR(LOOKUP(2,1/($B$1:B105=B106),$P$1:P105),0)+$M106+$N106,"drip",IFERROR(LOOKUP(2,1/($B$1:B105=B106),$P$1:P105),0)+$M106+$N106,"sell",IFERROR(LOOKUP(2,1/($B$1:B105=B106),$P$1:P105),0)-IFERROR(IFERROR(LOOKUP(2,1/($B$1:B105=B106),$P$1:P105),0)/IFERROR(LOOKUP(2,1/($B$1:B105=B106),$O$1:O105),0)*$E106,0),"return_of_capital",IFERROR(LOOKUP(2,1/($B$1:B105=B106),$P$1:P105),0)-ABS($M106),"split",IFERROR(LOOKUP(2,1/($B$1:B105=B106),$P$1:P105),0),IFERROR(LOOKUP(2,1/($B$1:B105=B106),$P$1:P105),0)))</x:f>
      </x:c>
      <x:c r="Q106" t="str">
        <x:f>IFERROR($P106/$O106,"")</x:f>
      </x:c>
      <x:c r="R106" t="str">
        <x:f>IF(LOWER($D106)="sell",$M106-$N106-IFERROR(IFERROR(LOOKUP(2,1/($B$1:B105=B106),$P$1:P105),0)/IFERROR(LOOKUP(2,1/($B$1:B105=B106),$O$1:O105),0)*$E106,0),"")</x:f>
      </x:c>
      <x:c r="S106" t="str">
        <x:f>IF(COUNTA($A106:$D106)=0,"",IF($B106="","Missing symbol",IF($D106="","Missing action",IF(AND(LOWER($D106)="sell",$E106&gt;IFERROR(LOOKUP(2,1/($B$1:B105=B106),$O$1:O105),0)),"Sold more units than available","OK"))))</x:f>
      </x:c>
    </x:row>
    <x:row r="107">
      <x:c r="M107" t="str">
        <x:f>IF(COUNTA($A107:$D107)=0,"",IF($G107&lt;&gt;"",$G107,IF(AND($E107&lt;&gt;"",$F107&lt;&gt;""),$E107*$F107,""))*IF($J107&lt;&gt;"",$J107,1))</x:f>
      </x:c>
      <x:c r="N107" t="str">
        <x:f>IF(COUNTA($A107:$D107)=0,"",IF($H107&lt;&gt;"",$H107,0)*IF($J107&lt;&gt;"",$J107,1))</x:f>
      </x:c>
      <x:c r="O107" t="str">
        <x:f>IF(COUNTA($A107:$D107)=0,"",SWITCH(LOWER($D107),"buy",IFERROR(LOOKUP(2,1/($B$1:B106=B107),$O$1:O106),0)+$E107,"drip",IFERROR(LOOKUP(2,1/($B$1:B106=B107),$O$1:O106),0)+$E107,"sell",IFERROR(LOOKUP(2,1/($B$1:B106=B107),$O$1:O106),0)-$E107,"return_of_capital",IFERROR(LOOKUP(2,1/($B$1:B106=B107),$O$1:O106),0),"split",$E107,IFERROR(LOOKUP(2,1/($B$1:B106=B107),$O$1:O106),0)))</x:f>
      </x:c>
      <x:c r="P107" t="str">
        <x:f>IF(COUNTA($A107:$D107)=0,"",SWITCH(LOWER($D107),"buy",IFERROR(LOOKUP(2,1/($B$1:B106=B107),$P$1:P106),0)+$M107+$N107,"drip",IFERROR(LOOKUP(2,1/($B$1:B106=B107),$P$1:P106),0)+$M107+$N107,"sell",IFERROR(LOOKUP(2,1/($B$1:B106=B107),$P$1:P106),0)-IFERROR(IFERROR(LOOKUP(2,1/($B$1:B106=B107),$P$1:P106),0)/IFERROR(LOOKUP(2,1/($B$1:B106=B107),$O$1:O106),0)*$E107,0),"return_of_capital",IFERROR(LOOKUP(2,1/($B$1:B106=B107),$P$1:P106),0)-ABS($M107),"split",IFERROR(LOOKUP(2,1/($B$1:B106=B107),$P$1:P106),0),IFERROR(LOOKUP(2,1/($B$1:B106=B107),$P$1:P106),0)))</x:f>
      </x:c>
      <x:c r="Q107" t="str">
        <x:f>IFERROR($P107/$O107,"")</x:f>
      </x:c>
      <x:c r="R107" t="str">
        <x:f>IF(LOWER($D107)="sell",$M107-$N107-IFERROR(IFERROR(LOOKUP(2,1/($B$1:B106=B107),$P$1:P106),0)/IFERROR(LOOKUP(2,1/($B$1:B106=B107),$O$1:O106),0)*$E107,0),"")</x:f>
      </x:c>
      <x:c r="S107" t="str">
        <x:f>IF(COUNTA($A107:$D107)=0,"",IF($B107="","Missing symbol",IF($D107="","Missing action",IF(AND(LOWER($D107)="sell",$E107&gt;IFERROR(LOOKUP(2,1/($B$1:B106=B107),$O$1:O106),0)),"Sold more units than available","OK"))))</x:f>
      </x:c>
    </x:row>
    <x:row r="108">
      <x:c r="M108" t="str">
        <x:f>IF(COUNTA($A108:$D108)=0,"",IF($G108&lt;&gt;"",$G108,IF(AND($E108&lt;&gt;"",$F108&lt;&gt;""),$E108*$F108,""))*IF($J108&lt;&gt;"",$J108,1))</x:f>
      </x:c>
      <x:c r="N108" t="str">
        <x:f>IF(COUNTA($A108:$D108)=0,"",IF($H108&lt;&gt;"",$H108,0)*IF($J108&lt;&gt;"",$J108,1))</x:f>
      </x:c>
      <x:c r="O108" t="str">
        <x:f>IF(COUNTA($A108:$D108)=0,"",SWITCH(LOWER($D108),"buy",IFERROR(LOOKUP(2,1/($B$1:B107=B108),$O$1:O107),0)+$E108,"drip",IFERROR(LOOKUP(2,1/($B$1:B107=B108),$O$1:O107),0)+$E108,"sell",IFERROR(LOOKUP(2,1/($B$1:B107=B108),$O$1:O107),0)-$E108,"return_of_capital",IFERROR(LOOKUP(2,1/($B$1:B107=B108),$O$1:O107),0),"split",$E108,IFERROR(LOOKUP(2,1/($B$1:B107=B108),$O$1:O107),0)))</x:f>
      </x:c>
      <x:c r="P108" t="str">
        <x:f>IF(COUNTA($A108:$D108)=0,"",SWITCH(LOWER($D108),"buy",IFERROR(LOOKUP(2,1/($B$1:B107=B108),$P$1:P107),0)+$M108+$N108,"drip",IFERROR(LOOKUP(2,1/($B$1:B107=B108),$P$1:P107),0)+$M108+$N108,"sell",IFERROR(LOOKUP(2,1/($B$1:B107=B108),$P$1:P107),0)-IFERROR(IFERROR(LOOKUP(2,1/($B$1:B107=B108),$P$1:P107),0)/IFERROR(LOOKUP(2,1/($B$1:B107=B108),$O$1:O107),0)*$E108,0),"return_of_capital",IFERROR(LOOKUP(2,1/($B$1:B107=B108),$P$1:P107),0)-ABS($M108),"split",IFERROR(LOOKUP(2,1/($B$1:B107=B108),$P$1:P107),0),IFERROR(LOOKUP(2,1/($B$1:B107=B108),$P$1:P107),0)))</x:f>
      </x:c>
      <x:c r="Q108" t="str">
        <x:f>IFERROR($P108/$O108,"")</x:f>
      </x:c>
      <x:c r="R108" t="str">
        <x:f>IF(LOWER($D108)="sell",$M108-$N108-IFERROR(IFERROR(LOOKUP(2,1/($B$1:B107=B108),$P$1:P107),0)/IFERROR(LOOKUP(2,1/($B$1:B107=B108),$O$1:O107),0)*$E108,0),"")</x:f>
      </x:c>
      <x:c r="S108" t="str">
        <x:f>IF(COUNTA($A108:$D108)=0,"",IF($B108="","Missing symbol",IF($D108="","Missing action",IF(AND(LOWER($D108)="sell",$E108&gt;IFERROR(LOOKUP(2,1/($B$1:B107=B108),$O$1:O107),0)),"Sold more units than available","OK"))))</x:f>
      </x:c>
    </x:row>
    <x:row r="109">
      <x:c r="M109" t="str">
        <x:f>IF(COUNTA($A109:$D109)=0,"",IF($G109&lt;&gt;"",$G109,IF(AND($E109&lt;&gt;"",$F109&lt;&gt;""),$E109*$F109,""))*IF($J109&lt;&gt;"",$J109,1))</x:f>
      </x:c>
      <x:c r="N109" t="str">
        <x:f>IF(COUNTA($A109:$D109)=0,"",IF($H109&lt;&gt;"",$H109,0)*IF($J109&lt;&gt;"",$J109,1))</x:f>
      </x:c>
      <x:c r="O109" t="str">
        <x:f>IF(COUNTA($A109:$D109)=0,"",SWITCH(LOWER($D109),"buy",IFERROR(LOOKUP(2,1/($B$1:B108=B109),$O$1:O108),0)+$E109,"drip",IFERROR(LOOKUP(2,1/($B$1:B108=B109),$O$1:O108),0)+$E109,"sell",IFERROR(LOOKUP(2,1/($B$1:B108=B109),$O$1:O108),0)-$E109,"return_of_capital",IFERROR(LOOKUP(2,1/($B$1:B108=B109),$O$1:O108),0),"split",$E109,IFERROR(LOOKUP(2,1/($B$1:B108=B109),$O$1:O108),0)))</x:f>
      </x:c>
      <x:c r="P109" t="str">
        <x:f>IF(COUNTA($A109:$D109)=0,"",SWITCH(LOWER($D109),"buy",IFERROR(LOOKUP(2,1/($B$1:B108=B109),$P$1:P108),0)+$M109+$N109,"drip",IFERROR(LOOKUP(2,1/($B$1:B108=B109),$P$1:P108),0)+$M109+$N109,"sell",IFERROR(LOOKUP(2,1/($B$1:B108=B109),$P$1:P108),0)-IFERROR(IFERROR(LOOKUP(2,1/($B$1:B108=B109),$P$1:P108),0)/IFERROR(LOOKUP(2,1/($B$1:B108=B109),$O$1:O108),0)*$E109,0),"return_of_capital",IFERROR(LOOKUP(2,1/($B$1:B108=B109),$P$1:P108),0)-ABS($M109),"split",IFERROR(LOOKUP(2,1/($B$1:B108=B109),$P$1:P108),0),IFERROR(LOOKUP(2,1/($B$1:B108=B109),$P$1:P108),0)))</x:f>
      </x:c>
      <x:c r="Q109" t="str">
        <x:f>IFERROR($P109/$O109,"")</x:f>
      </x:c>
      <x:c r="R109" t="str">
        <x:f>IF(LOWER($D109)="sell",$M109-$N109-IFERROR(IFERROR(LOOKUP(2,1/($B$1:B108=B109),$P$1:P108),0)/IFERROR(LOOKUP(2,1/($B$1:B108=B109),$O$1:O108),0)*$E109,0),"")</x:f>
      </x:c>
      <x:c r="S109" t="str">
        <x:f>IF(COUNTA($A109:$D109)=0,"",IF($B109="","Missing symbol",IF($D109="","Missing action",IF(AND(LOWER($D109)="sell",$E109&gt;IFERROR(LOOKUP(2,1/($B$1:B108=B109),$O$1:O108),0)),"Sold more units than available","OK"))))</x:f>
      </x:c>
    </x:row>
    <x:row r="110">
      <x:c r="M110" t="str">
        <x:f>IF(COUNTA($A110:$D110)=0,"",IF($G110&lt;&gt;"",$G110,IF(AND($E110&lt;&gt;"",$F110&lt;&gt;""),$E110*$F110,""))*IF($J110&lt;&gt;"",$J110,1))</x:f>
      </x:c>
      <x:c r="N110" t="str">
        <x:f>IF(COUNTA($A110:$D110)=0,"",IF($H110&lt;&gt;"",$H110,0)*IF($J110&lt;&gt;"",$J110,1))</x:f>
      </x:c>
      <x:c r="O110" t="str">
        <x:f>IF(COUNTA($A110:$D110)=0,"",SWITCH(LOWER($D110),"buy",IFERROR(LOOKUP(2,1/($B$1:B109=B110),$O$1:O109),0)+$E110,"drip",IFERROR(LOOKUP(2,1/($B$1:B109=B110),$O$1:O109),0)+$E110,"sell",IFERROR(LOOKUP(2,1/($B$1:B109=B110),$O$1:O109),0)-$E110,"return_of_capital",IFERROR(LOOKUP(2,1/($B$1:B109=B110),$O$1:O109),0),"split",$E110,IFERROR(LOOKUP(2,1/($B$1:B109=B110),$O$1:O109),0)))</x:f>
      </x:c>
      <x:c r="P110" t="str">
        <x:f>IF(COUNTA($A110:$D110)=0,"",SWITCH(LOWER($D110),"buy",IFERROR(LOOKUP(2,1/($B$1:B109=B110),$P$1:P109),0)+$M110+$N110,"drip",IFERROR(LOOKUP(2,1/($B$1:B109=B110),$P$1:P109),0)+$M110+$N110,"sell",IFERROR(LOOKUP(2,1/($B$1:B109=B110),$P$1:P109),0)-IFERROR(IFERROR(LOOKUP(2,1/($B$1:B109=B110),$P$1:P109),0)/IFERROR(LOOKUP(2,1/($B$1:B109=B110),$O$1:O109),0)*$E110,0),"return_of_capital",IFERROR(LOOKUP(2,1/($B$1:B109=B110),$P$1:P109),0)-ABS($M110),"split",IFERROR(LOOKUP(2,1/($B$1:B109=B110),$P$1:P109),0),IFERROR(LOOKUP(2,1/($B$1:B109=B110),$P$1:P109),0)))</x:f>
      </x:c>
      <x:c r="Q110" t="str">
        <x:f>IFERROR($P110/$O110,"")</x:f>
      </x:c>
      <x:c r="R110" t="str">
        <x:f>IF(LOWER($D110)="sell",$M110-$N110-IFERROR(IFERROR(LOOKUP(2,1/($B$1:B109=B110),$P$1:P109),0)/IFERROR(LOOKUP(2,1/($B$1:B109=B110),$O$1:O109),0)*$E110,0),"")</x:f>
      </x:c>
      <x:c r="S110" t="str">
        <x:f>IF(COUNTA($A110:$D110)=0,"",IF($B110="","Missing symbol",IF($D110="","Missing action",IF(AND(LOWER($D110)="sell",$E110&gt;IFERROR(LOOKUP(2,1/($B$1:B109=B110),$O$1:O109),0)),"Sold more units than available","OK"))))</x:f>
      </x:c>
    </x:row>
    <x:row r="111">
      <x:c r="M111" t="str">
        <x:f>IF(COUNTA($A111:$D111)=0,"",IF($G111&lt;&gt;"",$G111,IF(AND($E111&lt;&gt;"",$F111&lt;&gt;""),$E111*$F111,""))*IF($J111&lt;&gt;"",$J111,1))</x:f>
      </x:c>
      <x:c r="N111" t="str">
        <x:f>IF(COUNTA($A111:$D111)=0,"",IF($H111&lt;&gt;"",$H111,0)*IF($J111&lt;&gt;"",$J111,1))</x:f>
      </x:c>
      <x:c r="O111" t="str">
        <x:f>IF(COUNTA($A111:$D111)=0,"",SWITCH(LOWER($D111),"buy",IFERROR(LOOKUP(2,1/($B$1:B110=B111),$O$1:O110),0)+$E111,"drip",IFERROR(LOOKUP(2,1/($B$1:B110=B111),$O$1:O110),0)+$E111,"sell",IFERROR(LOOKUP(2,1/($B$1:B110=B111),$O$1:O110),0)-$E111,"return_of_capital",IFERROR(LOOKUP(2,1/($B$1:B110=B111),$O$1:O110),0),"split",$E111,IFERROR(LOOKUP(2,1/($B$1:B110=B111),$O$1:O110),0)))</x:f>
      </x:c>
      <x:c r="P111" t="str">
        <x:f>IF(COUNTA($A111:$D111)=0,"",SWITCH(LOWER($D111),"buy",IFERROR(LOOKUP(2,1/($B$1:B110=B111),$P$1:P110),0)+$M111+$N111,"drip",IFERROR(LOOKUP(2,1/($B$1:B110=B111),$P$1:P110),0)+$M111+$N111,"sell",IFERROR(LOOKUP(2,1/($B$1:B110=B111),$P$1:P110),0)-IFERROR(IFERROR(LOOKUP(2,1/($B$1:B110=B111),$P$1:P110),0)/IFERROR(LOOKUP(2,1/($B$1:B110=B111),$O$1:O110),0)*$E111,0),"return_of_capital",IFERROR(LOOKUP(2,1/($B$1:B110=B111),$P$1:P110),0)-ABS($M111),"split",IFERROR(LOOKUP(2,1/($B$1:B110=B111),$P$1:P110),0),IFERROR(LOOKUP(2,1/($B$1:B110=B111),$P$1:P110),0)))</x:f>
      </x:c>
      <x:c r="Q111" t="str">
        <x:f>IFERROR($P111/$O111,"")</x:f>
      </x:c>
      <x:c r="R111" t="str">
        <x:f>IF(LOWER($D111)="sell",$M111-$N111-IFERROR(IFERROR(LOOKUP(2,1/($B$1:B110=B111),$P$1:P110),0)/IFERROR(LOOKUP(2,1/($B$1:B110=B111),$O$1:O110),0)*$E111,0),"")</x:f>
      </x:c>
      <x:c r="S111" t="str">
        <x:f>IF(COUNTA($A111:$D111)=0,"",IF($B111="","Missing symbol",IF($D111="","Missing action",IF(AND(LOWER($D111)="sell",$E111&gt;IFERROR(LOOKUP(2,1/($B$1:B110=B111),$O$1:O110),0)),"Sold more units than available","OK"))))</x:f>
      </x:c>
    </x:row>
    <x:row r="112">
      <x:c r="M112" t="str">
        <x:f>IF(COUNTA($A112:$D112)=0,"",IF($G112&lt;&gt;"",$G112,IF(AND($E112&lt;&gt;"",$F112&lt;&gt;""),$E112*$F112,""))*IF($J112&lt;&gt;"",$J112,1))</x:f>
      </x:c>
      <x:c r="N112" t="str">
        <x:f>IF(COUNTA($A112:$D112)=0,"",IF($H112&lt;&gt;"",$H112,0)*IF($J112&lt;&gt;"",$J112,1))</x:f>
      </x:c>
      <x:c r="O112" t="str">
        <x:f>IF(COUNTA($A112:$D112)=0,"",SWITCH(LOWER($D112),"buy",IFERROR(LOOKUP(2,1/($B$1:B111=B112),$O$1:O111),0)+$E112,"drip",IFERROR(LOOKUP(2,1/($B$1:B111=B112),$O$1:O111),0)+$E112,"sell",IFERROR(LOOKUP(2,1/($B$1:B111=B112),$O$1:O111),0)-$E112,"return_of_capital",IFERROR(LOOKUP(2,1/($B$1:B111=B112),$O$1:O111),0),"split",$E112,IFERROR(LOOKUP(2,1/($B$1:B111=B112),$O$1:O111),0)))</x:f>
      </x:c>
      <x:c r="P112" t="str">
        <x:f>IF(COUNTA($A112:$D112)=0,"",SWITCH(LOWER($D112),"buy",IFERROR(LOOKUP(2,1/($B$1:B111=B112),$P$1:P111),0)+$M112+$N112,"drip",IFERROR(LOOKUP(2,1/($B$1:B111=B112),$P$1:P111),0)+$M112+$N112,"sell",IFERROR(LOOKUP(2,1/($B$1:B111=B112),$P$1:P111),0)-IFERROR(IFERROR(LOOKUP(2,1/($B$1:B111=B112),$P$1:P111),0)/IFERROR(LOOKUP(2,1/($B$1:B111=B112),$O$1:O111),0)*$E112,0),"return_of_capital",IFERROR(LOOKUP(2,1/($B$1:B111=B112),$P$1:P111),0)-ABS($M112),"split",IFERROR(LOOKUP(2,1/($B$1:B111=B112),$P$1:P111),0),IFERROR(LOOKUP(2,1/($B$1:B111=B112),$P$1:P111),0)))</x:f>
      </x:c>
      <x:c r="Q112" t="str">
        <x:f>IFERROR($P112/$O112,"")</x:f>
      </x:c>
      <x:c r="R112" t="str">
        <x:f>IF(LOWER($D112)="sell",$M112-$N112-IFERROR(IFERROR(LOOKUP(2,1/($B$1:B111=B112),$P$1:P111),0)/IFERROR(LOOKUP(2,1/($B$1:B111=B112),$O$1:O111),0)*$E112,0),"")</x:f>
      </x:c>
      <x:c r="S112" t="str">
        <x:f>IF(COUNTA($A112:$D112)=0,"",IF($B112="","Missing symbol",IF($D112="","Missing action",IF(AND(LOWER($D112)="sell",$E112&gt;IFERROR(LOOKUP(2,1/($B$1:B111=B112),$O$1:O111),0)),"Sold more units than available","OK"))))</x:f>
      </x:c>
    </x:row>
    <x:row r="113">
      <x:c r="M113" t="str">
        <x:f>IF(COUNTA($A113:$D113)=0,"",IF($G113&lt;&gt;"",$G113,IF(AND($E113&lt;&gt;"",$F113&lt;&gt;""),$E113*$F113,""))*IF($J113&lt;&gt;"",$J113,1))</x:f>
      </x:c>
      <x:c r="N113" t="str">
        <x:f>IF(COUNTA($A113:$D113)=0,"",IF($H113&lt;&gt;"",$H113,0)*IF($J113&lt;&gt;"",$J113,1))</x:f>
      </x:c>
      <x:c r="O113" t="str">
        <x:f>IF(COUNTA($A113:$D113)=0,"",SWITCH(LOWER($D113),"buy",IFERROR(LOOKUP(2,1/($B$1:B112=B113),$O$1:O112),0)+$E113,"drip",IFERROR(LOOKUP(2,1/($B$1:B112=B113),$O$1:O112),0)+$E113,"sell",IFERROR(LOOKUP(2,1/($B$1:B112=B113),$O$1:O112),0)-$E113,"return_of_capital",IFERROR(LOOKUP(2,1/($B$1:B112=B113),$O$1:O112),0),"split",$E113,IFERROR(LOOKUP(2,1/($B$1:B112=B113),$O$1:O112),0)))</x:f>
      </x:c>
      <x:c r="P113" t="str">
        <x:f>IF(COUNTA($A113:$D113)=0,"",SWITCH(LOWER($D113),"buy",IFERROR(LOOKUP(2,1/($B$1:B112=B113),$P$1:P112),0)+$M113+$N113,"drip",IFERROR(LOOKUP(2,1/($B$1:B112=B113),$P$1:P112),0)+$M113+$N113,"sell",IFERROR(LOOKUP(2,1/($B$1:B112=B113),$P$1:P112),0)-IFERROR(IFERROR(LOOKUP(2,1/($B$1:B112=B113),$P$1:P112),0)/IFERROR(LOOKUP(2,1/($B$1:B112=B113),$O$1:O112),0)*$E113,0),"return_of_capital",IFERROR(LOOKUP(2,1/($B$1:B112=B113),$P$1:P112),0)-ABS($M113),"split",IFERROR(LOOKUP(2,1/($B$1:B112=B113),$P$1:P112),0),IFERROR(LOOKUP(2,1/($B$1:B112=B113),$P$1:P112),0)))</x:f>
      </x:c>
      <x:c r="Q113" t="str">
        <x:f>IFERROR($P113/$O113,"")</x:f>
      </x:c>
      <x:c r="R113" t="str">
        <x:f>IF(LOWER($D113)="sell",$M113-$N113-IFERROR(IFERROR(LOOKUP(2,1/($B$1:B112=B113),$P$1:P112),0)/IFERROR(LOOKUP(2,1/($B$1:B112=B113),$O$1:O112),0)*$E113,0),"")</x:f>
      </x:c>
      <x:c r="S113" t="str">
        <x:f>IF(COUNTA($A113:$D113)=0,"",IF($B113="","Missing symbol",IF($D113="","Missing action",IF(AND(LOWER($D113)="sell",$E113&gt;IFERROR(LOOKUP(2,1/($B$1:B112=B113),$O$1:O112),0)),"Sold more units than available","OK"))))</x:f>
      </x:c>
    </x:row>
    <x:row r="114">
      <x:c r="M114" t="str">
        <x:f>IF(COUNTA($A114:$D114)=0,"",IF($G114&lt;&gt;"",$G114,IF(AND($E114&lt;&gt;"",$F114&lt;&gt;""),$E114*$F114,""))*IF($J114&lt;&gt;"",$J114,1))</x:f>
      </x:c>
      <x:c r="N114" t="str">
        <x:f>IF(COUNTA($A114:$D114)=0,"",IF($H114&lt;&gt;"",$H114,0)*IF($J114&lt;&gt;"",$J114,1))</x:f>
      </x:c>
      <x:c r="O114" t="str">
        <x:f>IF(COUNTA($A114:$D114)=0,"",SWITCH(LOWER($D114),"buy",IFERROR(LOOKUP(2,1/($B$1:B113=B114),$O$1:O113),0)+$E114,"drip",IFERROR(LOOKUP(2,1/($B$1:B113=B114),$O$1:O113),0)+$E114,"sell",IFERROR(LOOKUP(2,1/($B$1:B113=B114),$O$1:O113),0)-$E114,"return_of_capital",IFERROR(LOOKUP(2,1/($B$1:B113=B114),$O$1:O113),0),"split",$E114,IFERROR(LOOKUP(2,1/($B$1:B113=B114),$O$1:O113),0)))</x:f>
      </x:c>
      <x:c r="P114" t="str">
        <x:f>IF(COUNTA($A114:$D114)=0,"",SWITCH(LOWER($D114),"buy",IFERROR(LOOKUP(2,1/($B$1:B113=B114),$P$1:P113),0)+$M114+$N114,"drip",IFERROR(LOOKUP(2,1/($B$1:B113=B114),$P$1:P113),0)+$M114+$N114,"sell",IFERROR(LOOKUP(2,1/($B$1:B113=B114),$P$1:P113),0)-IFERROR(IFERROR(LOOKUP(2,1/($B$1:B113=B114),$P$1:P113),0)/IFERROR(LOOKUP(2,1/($B$1:B113=B114),$O$1:O113),0)*$E114,0),"return_of_capital",IFERROR(LOOKUP(2,1/($B$1:B113=B114),$P$1:P113),0)-ABS($M114),"split",IFERROR(LOOKUP(2,1/($B$1:B113=B114),$P$1:P113),0),IFERROR(LOOKUP(2,1/($B$1:B113=B114),$P$1:P113),0)))</x:f>
      </x:c>
      <x:c r="Q114" t="str">
        <x:f>IFERROR($P114/$O114,"")</x:f>
      </x:c>
      <x:c r="R114" t="str">
        <x:f>IF(LOWER($D114)="sell",$M114-$N114-IFERROR(IFERROR(LOOKUP(2,1/($B$1:B113=B114),$P$1:P113),0)/IFERROR(LOOKUP(2,1/($B$1:B113=B114),$O$1:O113),0)*$E114,0),"")</x:f>
      </x:c>
      <x:c r="S114" t="str">
        <x:f>IF(COUNTA($A114:$D114)=0,"",IF($B114="","Missing symbol",IF($D114="","Missing action",IF(AND(LOWER($D114)="sell",$E114&gt;IFERROR(LOOKUP(2,1/($B$1:B113=B114),$O$1:O113),0)),"Sold more units than available","OK"))))</x:f>
      </x:c>
    </x:row>
    <x:row r="115">
      <x:c r="M115" t="str">
        <x:f>IF(COUNTA($A115:$D115)=0,"",IF($G115&lt;&gt;"",$G115,IF(AND($E115&lt;&gt;"",$F115&lt;&gt;""),$E115*$F115,""))*IF($J115&lt;&gt;"",$J115,1))</x:f>
      </x:c>
      <x:c r="N115" t="str">
        <x:f>IF(COUNTA($A115:$D115)=0,"",IF($H115&lt;&gt;"",$H115,0)*IF($J115&lt;&gt;"",$J115,1))</x:f>
      </x:c>
      <x:c r="O115" t="str">
        <x:f>IF(COUNTA($A115:$D115)=0,"",SWITCH(LOWER($D115),"buy",IFERROR(LOOKUP(2,1/($B$1:B114=B115),$O$1:O114),0)+$E115,"drip",IFERROR(LOOKUP(2,1/($B$1:B114=B115),$O$1:O114),0)+$E115,"sell",IFERROR(LOOKUP(2,1/($B$1:B114=B115),$O$1:O114),0)-$E115,"return_of_capital",IFERROR(LOOKUP(2,1/($B$1:B114=B115),$O$1:O114),0),"split",$E115,IFERROR(LOOKUP(2,1/($B$1:B114=B115),$O$1:O114),0)))</x:f>
      </x:c>
      <x:c r="P115" t="str">
        <x:f>IF(COUNTA($A115:$D115)=0,"",SWITCH(LOWER($D115),"buy",IFERROR(LOOKUP(2,1/($B$1:B114=B115),$P$1:P114),0)+$M115+$N115,"drip",IFERROR(LOOKUP(2,1/($B$1:B114=B115),$P$1:P114),0)+$M115+$N115,"sell",IFERROR(LOOKUP(2,1/($B$1:B114=B115),$P$1:P114),0)-IFERROR(IFERROR(LOOKUP(2,1/($B$1:B114=B115),$P$1:P114),0)/IFERROR(LOOKUP(2,1/($B$1:B114=B115),$O$1:O114),0)*$E115,0),"return_of_capital",IFERROR(LOOKUP(2,1/($B$1:B114=B115),$P$1:P114),0)-ABS($M115),"split",IFERROR(LOOKUP(2,1/($B$1:B114=B115),$P$1:P114),0),IFERROR(LOOKUP(2,1/($B$1:B114=B115),$P$1:P114),0)))</x:f>
      </x:c>
      <x:c r="Q115" t="str">
        <x:f>IFERROR($P115/$O115,"")</x:f>
      </x:c>
      <x:c r="R115" t="str">
        <x:f>IF(LOWER($D115)="sell",$M115-$N115-IFERROR(IFERROR(LOOKUP(2,1/($B$1:B114=B115),$P$1:P114),0)/IFERROR(LOOKUP(2,1/($B$1:B114=B115),$O$1:O114),0)*$E115,0),"")</x:f>
      </x:c>
      <x:c r="S115" t="str">
        <x:f>IF(COUNTA($A115:$D115)=0,"",IF($B115="","Missing symbol",IF($D115="","Missing action",IF(AND(LOWER($D115)="sell",$E115&gt;IFERROR(LOOKUP(2,1/($B$1:B114=B115),$O$1:O114),0)),"Sold more units than available","OK"))))</x:f>
      </x:c>
    </x:row>
    <x:row r="116">
      <x:c r="M116" t="str">
        <x:f>IF(COUNTA($A116:$D116)=0,"",IF($G116&lt;&gt;"",$G116,IF(AND($E116&lt;&gt;"",$F116&lt;&gt;""),$E116*$F116,""))*IF($J116&lt;&gt;"",$J116,1))</x:f>
      </x:c>
      <x:c r="N116" t="str">
        <x:f>IF(COUNTA($A116:$D116)=0,"",IF($H116&lt;&gt;"",$H116,0)*IF($J116&lt;&gt;"",$J116,1))</x:f>
      </x:c>
      <x:c r="O116" t="str">
        <x:f>IF(COUNTA($A116:$D116)=0,"",SWITCH(LOWER($D116),"buy",IFERROR(LOOKUP(2,1/($B$1:B115=B116),$O$1:O115),0)+$E116,"drip",IFERROR(LOOKUP(2,1/($B$1:B115=B116),$O$1:O115),0)+$E116,"sell",IFERROR(LOOKUP(2,1/($B$1:B115=B116),$O$1:O115),0)-$E116,"return_of_capital",IFERROR(LOOKUP(2,1/($B$1:B115=B116),$O$1:O115),0),"split",$E116,IFERROR(LOOKUP(2,1/($B$1:B115=B116),$O$1:O115),0)))</x:f>
      </x:c>
      <x:c r="P116" t="str">
        <x:f>IF(COUNTA($A116:$D116)=0,"",SWITCH(LOWER($D116),"buy",IFERROR(LOOKUP(2,1/($B$1:B115=B116),$P$1:P115),0)+$M116+$N116,"drip",IFERROR(LOOKUP(2,1/($B$1:B115=B116),$P$1:P115),0)+$M116+$N116,"sell",IFERROR(LOOKUP(2,1/($B$1:B115=B116),$P$1:P115),0)-IFERROR(IFERROR(LOOKUP(2,1/($B$1:B115=B116),$P$1:P115),0)/IFERROR(LOOKUP(2,1/($B$1:B115=B116),$O$1:O115),0)*$E116,0),"return_of_capital",IFERROR(LOOKUP(2,1/($B$1:B115=B116),$P$1:P115),0)-ABS($M116),"split",IFERROR(LOOKUP(2,1/($B$1:B115=B116),$P$1:P115),0),IFERROR(LOOKUP(2,1/($B$1:B115=B116),$P$1:P115),0)))</x:f>
      </x:c>
      <x:c r="Q116" t="str">
        <x:f>IFERROR($P116/$O116,"")</x:f>
      </x:c>
      <x:c r="R116" t="str">
        <x:f>IF(LOWER($D116)="sell",$M116-$N116-IFERROR(IFERROR(LOOKUP(2,1/($B$1:B115=B116),$P$1:P115),0)/IFERROR(LOOKUP(2,1/($B$1:B115=B116),$O$1:O115),0)*$E116,0),"")</x:f>
      </x:c>
      <x:c r="S116" t="str">
        <x:f>IF(COUNTA($A116:$D116)=0,"",IF($B116="","Missing symbol",IF($D116="","Missing action",IF(AND(LOWER($D116)="sell",$E116&gt;IFERROR(LOOKUP(2,1/($B$1:B115=B116),$O$1:O115),0)),"Sold more units than available","OK"))))</x:f>
      </x:c>
    </x:row>
    <x:row r="117">
      <x:c r="M117" t="str">
        <x:f>IF(COUNTA($A117:$D117)=0,"",IF($G117&lt;&gt;"",$G117,IF(AND($E117&lt;&gt;"",$F117&lt;&gt;""),$E117*$F117,""))*IF($J117&lt;&gt;"",$J117,1))</x:f>
      </x:c>
      <x:c r="N117" t="str">
        <x:f>IF(COUNTA($A117:$D117)=0,"",IF($H117&lt;&gt;"",$H117,0)*IF($J117&lt;&gt;"",$J117,1))</x:f>
      </x:c>
      <x:c r="O117" t="str">
        <x:f>IF(COUNTA($A117:$D117)=0,"",SWITCH(LOWER($D117),"buy",IFERROR(LOOKUP(2,1/($B$1:B116=B117),$O$1:O116),0)+$E117,"drip",IFERROR(LOOKUP(2,1/($B$1:B116=B117),$O$1:O116),0)+$E117,"sell",IFERROR(LOOKUP(2,1/($B$1:B116=B117),$O$1:O116),0)-$E117,"return_of_capital",IFERROR(LOOKUP(2,1/($B$1:B116=B117),$O$1:O116),0),"split",$E117,IFERROR(LOOKUP(2,1/($B$1:B116=B117),$O$1:O116),0)))</x:f>
      </x:c>
      <x:c r="P117" t="str">
        <x:f>IF(COUNTA($A117:$D117)=0,"",SWITCH(LOWER($D117),"buy",IFERROR(LOOKUP(2,1/($B$1:B116=B117),$P$1:P116),0)+$M117+$N117,"drip",IFERROR(LOOKUP(2,1/($B$1:B116=B117),$P$1:P116),0)+$M117+$N117,"sell",IFERROR(LOOKUP(2,1/($B$1:B116=B117),$P$1:P116),0)-IFERROR(IFERROR(LOOKUP(2,1/($B$1:B116=B117),$P$1:P116),0)/IFERROR(LOOKUP(2,1/($B$1:B116=B117),$O$1:O116),0)*$E117,0),"return_of_capital",IFERROR(LOOKUP(2,1/($B$1:B116=B117),$P$1:P116),0)-ABS($M117),"split",IFERROR(LOOKUP(2,1/($B$1:B116=B117),$P$1:P116),0),IFERROR(LOOKUP(2,1/($B$1:B116=B117),$P$1:P116),0)))</x:f>
      </x:c>
      <x:c r="Q117" t="str">
        <x:f>IFERROR($P117/$O117,"")</x:f>
      </x:c>
      <x:c r="R117" t="str">
        <x:f>IF(LOWER($D117)="sell",$M117-$N117-IFERROR(IFERROR(LOOKUP(2,1/($B$1:B116=B117),$P$1:P116),0)/IFERROR(LOOKUP(2,1/($B$1:B116=B117),$O$1:O116),0)*$E117,0),"")</x:f>
      </x:c>
      <x:c r="S117" t="str">
        <x:f>IF(COUNTA($A117:$D117)=0,"",IF($B117="","Missing symbol",IF($D117="","Missing action",IF(AND(LOWER($D117)="sell",$E117&gt;IFERROR(LOOKUP(2,1/($B$1:B116=B117),$O$1:O116),0)),"Sold more units than available","OK"))))</x:f>
      </x:c>
    </x:row>
    <x:row r="118">
      <x:c r="M118" t="str">
        <x:f>IF(COUNTA($A118:$D118)=0,"",IF($G118&lt;&gt;"",$G118,IF(AND($E118&lt;&gt;"",$F118&lt;&gt;""),$E118*$F118,""))*IF($J118&lt;&gt;"",$J118,1))</x:f>
      </x:c>
      <x:c r="N118" t="str">
        <x:f>IF(COUNTA($A118:$D118)=0,"",IF($H118&lt;&gt;"",$H118,0)*IF($J118&lt;&gt;"",$J118,1))</x:f>
      </x:c>
      <x:c r="O118" t="str">
        <x:f>IF(COUNTA($A118:$D118)=0,"",SWITCH(LOWER($D118),"buy",IFERROR(LOOKUP(2,1/($B$1:B117=B118),$O$1:O117),0)+$E118,"drip",IFERROR(LOOKUP(2,1/($B$1:B117=B118),$O$1:O117),0)+$E118,"sell",IFERROR(LOOKUP(2,1/($B$1:B117=B118),$O$1:O117),0)-$E118,"return_of_capital",IFERROR(LOOKUP(2,1/($B$1:B117=B118),$O$1:O117),0),"split",$E118,IFERROR(LOOKUP(2,1/($B$1:B117=B118),$O$1:O117),0)))</x:f>
      </x:c>
      <x:c r="P118" t="str">
        <x:f>IF(COUNTA($A118:$D118)=0,"",SWITCH(LOWER($D118),"buy",IFERROR(LOOKUP(2,1/($B$1:B117=B118),$P$1:P117),0)+$M118+$N118,"drip",IFERROR(LOOKUP(2,1/($B$1:B117=B118),$P$1:P117),0)+$M118+$N118,"sell",IFERROR(LOOKUP(2,1/($B$1:B117=B118),$P$1:P117),0)-IFERROR(IFERROR(LOOKUP(2,1/($B$1:B117=B118),$P$1:P117),0)/IFERROR(LOOKUP(2,1/($B$1:B117=B118),$O$1:O117),0)*$E118,0),"return_of_capital",IFERROR(LOOKUP(2,1/($B$1:B117=B118),$P$1:P117),0)-ABS($M118),"split",IFERROR(LOOKUP(2,1/($B$1:B117=B118),$P$1:P117),0),IFERROR(LOOKUP(2,1/($B$1:B117=B118),$P$1:P117),0)))</x:f>
      </x:c>
      <x:c r="Q118" t="str">
        <x:f>IFERROR($P118/$O118,"")</x:f>
      </x:c>
      <x:c r="R118" t="str">
        <x:f>IF(LOWER($D118)="sell",$M118-$N118-IFERROR(IFERROR(LOOKUP(2,1/($B$1:B117=B118),$P$1:P117),0)/IFERROR(LOOKUP(2,1/($B$1:B117=B118),$O$1:O117),0)*$E118,0),"")</x:f>
      </x:c>
      <x:c r="S118" t="str">
        <x:f>IF(COUNTA($A118:$D118)=0,"",IF($B118="","Missing symbol",IF($D118="","Missing action",IF(AND(LOWER($D118)="sell",$E118&gt;IFERROR(LOOKUP(2,1/($B$1:B117=B118),$O$1:O117),0)),"Sold more units than available","OK"))))</x:f>
      </x:c>
    </x:row>
    <x:row r="119">
      <x:c r="M119" t="str">
        <x:f>IF(COUNTA($A119:$D119)=0,"",IF($G119&lt;&gt;"",$G119,IF(AND($E119&lt;&gt;"",$F119&lt;&gt;""),$E119*$F119,""))*IF($J119&lt;&gt;"",$J119,1))</x:f>
      </x:c>
      <x:c r="N119" t="str">
        <x:f>IF(COUNTA($A119:$D119)=0,"",IF($H119&lt;&gt;"",$H119,0)*IF($J119&lt;&gt;"",$J119,1))</x:f>
      </x:c>
      <x:c r="O119" t="str">
        <x:f>IF(COUNTA($A119:$D119)=0,"",SWITCH(LOWER($D119),"buy",IFERROR(LOOKUP(2,1/($B$1:B118=B119),$O$1:O118),0)+$E119,"drip",IFERROR(LOOKUP(2,1/($B$1:B118=B119),$O$1:O118),0)+$E119,"sell",IFERROR(LOOKUP(2,1/($B$1:B118=B119),$O$1:O118),0)-$E119,"return_of_capital",IFERROR(LOOKUP(2,1/($B$1:B118=B119),$O$1:O118),0),"split",$E119,IFERROR(LOOKUP(2,1/($B$1:B118=B119),$O$1:O118),0)))</x:f>
      </x:c>
      <x:c r="P119" t="str">
        <x:f>IF(COUNTA($A119:$D119)=0,"",SWITCH(LOWER($D119),"buy",IFERROR(LOOKUP(2,1/($B$1:B118=B119),$P$1:P118),0)+$M119+$N119,"drip",IFERROR(LOOKUP(2,1/($B$1:B118=B119),$P$1:P118),0)+$M119+$N119,"sell",IFERROR(LOOKUP(2,1/($B$1:B118=B119),$P$1:P118),0)-IFERROR(IFERROR(LOOKUP(2,1/($B$1:B118=B119),$P$1:P118),0)/IFERROR(LOOKUP(2,1/($B$1:B118=B119),$O$1:O118),0)*$E119,0),"return_of_capital",IFERROR(LOOKUP(2,1/($B$1:B118=B119),$P$1:P118),0)-ABS($M119),"split",IFERROR(LOOKUP(2,1/($B$1:B118=B119),$P$1:P118),0),IFERROR(LOOKUP(2,1/($B$1:B118=B119),$P$1:P118),0)))</x:f>
      </x:c>
      <x:c r="Q119" t="str">
        <x:f>IFERROR($P119/$O119,"")</x:f>
      </x:c>
      <x:c r="R119" t="str">
        <x:f>IF(LOWER($D119)="sell",$M119-$N119-IFERROR(IFERROR(LOOKUP(2,1/($B$1:B118=B119),$P$1:P118),0)/IFERROR(LOOKUP(2,1/($B$1:B118=B119),$O$1:O118),0)*$E119,0),"")</x:f>
      </x:c>
      <x:c r="S119" t="str">
        <x:f>IF(COUNTA($A119:$D119)=0,"",IF($B119="","Missing symbol",IF($D119="","Missing action",IF(AND(LOWER($D119)="sell",$E119&gt;IFERROR(LOOKUP(2,1/($B$1:B118=B119),$O$1:O118),0)),"Sold more units than available","OK"))))</x:f>
      </x:c>
    </x:row>
    <x:row r="120">
      <x:c r="M120" t="str">
        <x:f>IF(COUNTA($A120:$D120)=0,"",IF($G120&lt;&gt;"",$G120,IF(AND($E120&lt;&gt;"",$F120&lt;&gt;""),$E120*$F120,""))*IF($J120&lt;&gt;"",$J120,1))</x:f>
      </x:c>
      <x:c r="N120" t="str">
        <x:f>IF(COUNTA($A120:$D120)=0,"",IF($H120&lt;&gt;"",$H120,0)*IF($J120&lt;&gt;"",$J120,1))</x:f>
      </x:c>
      <x:c r="O120" t="str">
        <x:f>IF(COUNTA($A120:$D120)=0,"",SWITCH(LOWER($D120),"buy",IFERROR(LOOKUP(2,1/($B$1:B119=B120),$O$1:O119),0)+$E120,"drip",IFERROR(LOOKUP(2,1/($B$1:B119=B120),$O$1:O119),0)+$E120,"sell",IFERROR(LOOKUP(2,1/($B$1:B119=B120),$O$1:O119),0)-$E120,"return_of_capital",IFERROR(LOOKUP(2,1/($B$1:B119=B120),$O$1:O119),0),"split",$E120,IFERROR(LOOKUP(2,1/($B$1:B119=B120),$O$1:O119),0)))</x:f>
      </x:c>
      <x:c r="P120" t="str">
        <x:f>IF(COUNTA($A120:$D120)=0,"",SWITCH(LOWER($D120),"buy",IFERROR(LOOKUP(2,1/($B$1:B119=B120),$P$1:P119),0)+$M120+$N120,"drip",IFERROR(LOOKUP(2,1/($B$1:B119=B120),$P$1:P119),0)+$M120+$N120,"sell",IFERROR(LOOKUP(2,1/($B$1:B119=B120),$P$1:P119),0)-IFERROR(IFERROR(LOOKUP(2,1/($B$1:B119=B120),$P$1:P119),0)/IFERROR(LOOKUP(2,1/($B$1:B119=B120),$O$1:O119),0)*$E120,0),"return_of_capital",IFERROR(LOOKUP(2,1/($B$1:B119=B120),$P$1:P119),0)-ABS($M120),"split",IFERROR(LOOKUP(2,1/($B$1:B119=B120),$P$1:P119),0),IFERROR(LOOKUP(2,1/($B$1:B119=B120),$P$1:P119),0)))</x:f>
      </x:c>
      <x:c r="Q120" t="str">
        <x:f>IFERROR($P120/$O120,"")</x:f>
      </x:c>
      <x:c r="R120" t="str">
        <x:f>IF(LOWER($D120)="sell",$M120-$N120-IFERROR(IFERROR(LOOKUP(2,1/($B$1:B119=B120),$P$1:P119),0)/IFERROR(LOOKUP(2,1/($B$1:B119=B120),$O$1:O119),0)*$E120,0),"")</x:f>
      </x:c>
      <x:c r="S120" t="str">
        <x:f>IF(COUNTA($A120:$D120)=0,"",IF($B120="","Missing symbol",IF($D120="","Missing action",IF(AND(LOWER($D120)="sell",$E120&gt;IFERROR(LOOKUP(2,1/($B$1:B119=B120),$O$1:O119),0)),"Sold more units than available","OK"))))</x:f>
      </x:c>
    </x:row>
    <x:row r="121">
      <x:c r="M121" t="str">
        <x:f>IF(COUNTA($A121:$D121)=0,"",IF($G121&lt;&gt;"",$G121,IF(AND($E121&lt;&gt;"",$F121&lt;&gt;""),$E121*$F121,""))*IF($J121&lt;&gt;"",$J121,1))</x:f>
      </x:c>
      <x:c r="N121" t="str">
        <x:f>IF(COUNTA($A121:$D121)=0,"",IF($H121&lt;&gt;"",$H121,0)*IF($J121&lt;&gt;"",$J121,1))</x:f>
      </x:c>
      <x:c r="O121" t="str">
        <x:f>IF(COUNTA($A121:$D121)=0,"",SWITCH(LOWER($D121),"buy",IFERROR(LOOKUP(2,1/($B$1:B120=B121),$O$1:O120),0)+$E121,"drip",IFERROR(LOOKUP(2,1/($B$1:B120=B121),$O$1:O120),0)+$E121,"sell",IFERROR(LOOKUP(2,1/($B$1:B120=B121),$O$1:O120),0)-$E121,"return_of_capital",IFERROR(LOOKUP(2,1/($B$1:B120=B121),$O$1:O120),0),"split",$E121,IFERROR(LOOKUP(2,1/($B$1:B120=B121),$O$1:O120),0)))</x:f>
      </x:c>
      <x:c r="P121" t="str">
        <x:f>IF(COUNTA($A121:$D121)=0,"",SWITCH(LOWER($D121),"buy",IFERROR(LOOKUP(2,1/($B$1:B120=B121),$P$1:P120),0)+$M121+$N121,"drip",IFERROR(LOOKUP(2,1/($B$1:B120=B121),$P$1:P120),0)+$M121+$N121,"sell",IFERROR(LOOKUP(2,1/($B$1:B120=B121),$P$1:P120),0)-IFERROR(IFERROR(LOOKUP(2,1/($B$1:B120=B121),$P$1:P120),0)/IFERROR(LOOKUP(2,1/($B$1:B120=B121),$O$1:O120),0)*$E121,0),"return_of_capital",IFERROR(LOOKUP(2,1/($B$1:B120=B121),$P$1:P120),0)-ABS($M121),"split",IFERROR(LOOKUP(2,1/($B$1:B120=B121),$P$1:P120),0),IFERROR(LOOKUP(2,1/($B$1:B120=B121),$P$1:P120),0)))</x:f>
      </x:c>
      <x:c r="Q121" t="str">
        <x:f>IFERROR($P121/$O121,"")</x:f>
      </x:c>
      <x:c r="R121" t="str">
        <x:f>IF(LOWER($D121)="sell",$M121-$N121-IFERROR(IFERROR(LOOKUP(2,1/($B$1:B120=B121),$P$1:P120),0)/IFERROR(LOOKUP(2,1/($B$1:B120=B121),$O$1:O120),0)*$E121,0),"")</x:f>
      </x:c>
      <x:c r="S121" t="str">
        <x:f>IF(COUNTA($A121:$D121)=0,"",IF($B121="","Missing symbol",IF($D121="","Missing action",IF(AND(LOWER($D121)="sell",$E121&gt;IFERROR(LOOKUP(2,1/($B$1:B120=B121),$O$1:O120),0)),"Sold more units than available","OK"))))</x:f>
      </x:c>
    </x:row>
    <x:row r="122">
      <x:c r="M122" t="str">
        <x:f>IF(COUNTA($A122:$D122)=0,"",IF($G122&lt;&gt;"",$G122,IF(AND($E122&lt;&gt;"",$F122&lt;&gt;""),$E122*$F122,""))*IF($J122&lt;&gt;"",$J122,1))</x:f>
      </x:c>
      <x:c r="N122" t="str">
        <x:f>IF(COUNTA($A122:$D122)=0,"",IF($H122&lt;&gt;"",$H122,0)*IF($J122&lt;&gt;"",$J122,1))</x:f>
      </x:c>
      <x:c r="O122" t="str">
        <x:f>IF(COUNTA($A122:$D122)=0,"",SWITCH(LOWER($D122),"buy",IFERROR(LOOKUP(2,1/($B$1:B121=B122),$O$1:O121),0)+$E122,"drip",IFERROR(LOOKUP(2,1/($B$1:B121=B122),$O$1:O121),0)+$E122,"sell",IFERROR(LOOKUP(2,1/($B$1:B121=B122),$O$1:O121),0)-$E122,"return_of_capital",IFERROR(LOOKUP(2,1/($B$1:B121=B122),$O$1:O121),0),"split",$E122,IFERROR(LOOKUP(2,1/($B$1:B121=B122),$O$1:O121),0)))</x:f>
      </x:c>
      <x:c r="P122" t="str">
        <x:f>IF(COUNTA($A122:$D122)=0,"",SWITCH(LOWER($D122),"buy",IFERROR(LOOKUP(2,1/($B$1:B121=B122),$P$1:P121),0)+$M122+$N122,"drip",IFERROR(LOOKUP(2,1/($B$1:B121=B122),$P$1:P121),0)+$M122+$N122,"sell",IFERROR(LOOKUP(2,1/($B$1:B121=B122),$P$1:P121),0)-IFERROR(IFERROR(LOOKUP(2,1/($B$1:B121=B122),$P$1:P121),0)/IFERROR(LOOKUP(2,1/($B$1:B121=B122),$O$1:O121),0)*$E122,0),"return_of_capital",IFERROR(LOOKUP(2,1/($B$1:B121=B122),$P$1:P121),0)-ABS($M122),"split",IFERROR(LOOKUP(2,1/($B$1:B121=B122),$P$1:P121),0),IFERROR(LOOKUP(2,1/($B$1:B121=B122),$P$1:P121),0)))</x:f>
      </x:c>
      <x:c r="Q122" t="str">
        <x:f>IFERROR($P122/$O122,"")</x:f>
      </x:c>
      <x:c r="R122" t="str">
        <x:f>IF(LOWER($D122)="sell",$M122-$N122-IFERROR(IFERROR(LOOKUP(2,1/($B$1:B121=B122),$P$1:P121),0)/IFERROR(LOOKUP(2,1/($B$1:B121=B122),$O$1:O121),0)*$E122,0),"")</x:f>
      </x:c>
      <x:c r="S122" t="str">
        <x:f>IF(COUNTA($A122:$D122)=0,"",IF($B122="","Missing symbol",IF($D122="","Missing action",IF(AND(LOWER($D122)="sell",$E122&gt;IFERROR(LOOKUP(2,1/($B$1:B121=B122),$O$1:O121),0)),"Sold more units than available","OK"))))</x:f>
      </x:c>
    </x:row>
    <x:row r="123">
      <x:c r="M123" t="str">
        <x:f>IF(COUNTA($A123:$D123)=0,"",IF($G123&lt;&gt;"",$G123,IF(AND($E123&lt;&gt;"",$F123&lt;&gt;""),$E123*$F123,""))*IF($J123&lt;&gt;"",$J123,1))</x:f>
      </x:c>
      <x:c r="N123" t="str">
        <x:f>IF(COUNTA($A123:$D123)=0,"",IF($H123&lt;&gt;"",$H123,0)*IF($J123&lt;&gt;"",$J123,1))</x:f>
      </x:c>
      <x:c r="O123" t="str">
        <x:f>IF(COUNTA($A123:$D123)=0,"",SWITCH(LOWER($D123),"buy",IFERROR(LOOKUP(2,1/($B$1:B122=B123),$O$1:O122),0)+$E123,"drip",IFERROR(LOOKUP(2,1/($B$1:B122=B123),$O$1:O122),0)+$E123,"sell",IFERROR(LOOKUP(2,1/($B$1:B122=B123),$O$1:O122),0)-$E123,"return_of_capital",IFERROR(LOOKUP(2,1/($B$1:B122=B123),$O$1:O122),0),"split",$E123,IFERROR(LOOKUP(2,1/($B$1:B122=B123),$O$1:O122),0)))</x:f>
      </x:c>
      <x:c r="P123" t="str">
        <x:f>IF(COUNTA($A123:$D123)=0,"",SWITCH(LOWER($D123),"buy",IFERROR(LOOKUP(2,1/($B$1:B122=B123),$P$1:P122),0)+$M123+$N123,"drip",IFERROR(LOOKUP(2,1/($B$1:B122=B123),$P$1:P122),0)+$M123+$N123,"sell",IFERROR(LOOKUP(2,1/($B$1:B122=B123),$P$1:P122),0)-IFERROR(IFERROR(LOOKUP(2,1/($B$1:B122=B123),$P$1:P122),0)/IFERROR(LOOKUP(2,1/($B$1:B122=B123),$O$1:O122),0)*$E123,0),"return_of_capital",IFERROR(LOOKUP(2,1/($B$1:B122=B123),$P$1:P122),0)-ABS($M123),"split",IFERROR(LOOKUP(2,1/($B$1:B122=B123),$P$1:P122),0),IFERROR(LOOKUP(2,1/($B$1:B122=B123),$P$1:P122),0)))</x:f>
      </x:c>
      <x:c r="Q123" t="str">
        <x:f>IFERROR($P123/$O123,"")</x:f>
      </x:c>
      <x:c r="R123" t="str">
        <x:f>IF(LOWER($D123)="sell",$M123-$N123-IFERROR(IFERROR(LOOKUP(2,1/($B$1:B122=B123),$P$1:P122),0)/IFERROR(LOOKUP(2,1/($B$1:B122=B123),$O$1:O122),0)*$E123,0),"")</x:f>
      </x:c>
      <x:c r="S123" t="str">
        <x:f>IF(COUNTA($A123:$D123)=0,"",IF($B123="","Missing symbol",IF($D123="","Missing action",IF(AND(LOWER($D123)="sell",$E123&gt;IFERROR(LOOKUP(2,1/($B$1:B122=B123),$O$1:O122),0)),"Sold more units than available","OK"))))</x:f>
      </x:c>
    </x:row>
    <x:row r="124">
      <x:c r="M124" t="str">
        <x:f>IF(COUNTA($A124:$D124)=0,"",IF($G124&lt;&gt;"",$G124,IF(AND($E124&lt;&gt;"",$F124&lt;&gt;""),$E124*$F124,""))*IF($J124&lt;&gt;"",$J124,1))</x:f>
      </x:c>
      <x:c r="N124" t="str">
        <x:f>IF(COUNTA($A124:$D124)=0,"",IF($H124&lt;&gt;"",$H124,0)*IF($J124&lt;&gt;"",$J124,1))</x:f>
      </x:c>
      <x:c r="O124" t="str">
        <x:f>IF(COUNTA($A124:$D124)=0,"",SWITCH(LOWER($D124),"buy",IFERROR(LOOKUP(2,1/($B$1:B123=B124),$O$1:O123),0)+$E124,"drip",IFERROR(LOOKUP(2,1/($B$1:B123=B124),$O$1:O123),0)+$E124,"sell",IFERROR(LOOKUP(2,1/($B$1:B123=B124),$O$1:O123),0)-$E124,"return_of_capital",IFERROR(LOOKUP(2,1/($B$1:B123=B124),$O$1:O123),0),"split",$E124,IFERROR(LOOKUP(2,1/($B$1:B123=B124),$O$1:O123),0)))</x:f>
      </x:c>
      <x:c r="P124" t="str">
        <x:f>IF(COUNTA($A124:$D124)=0,"",SWITCH(LOWER($D124),"buy",IFERROR(LOOKUP(2,1/($B$1:B123=B124),$P$1:P123),0)+$M124+$N124,"drip",IFERROR(LOOKUP(2,1/($B$1:B123=B124),$P$1:P123),0)+$M124+$N124,"sell",IFERROR(LOOKUP(2,1/($B$1:B123=B124),$P$1:P123),0)-IFERROR(IFERROR(LOOKUP(2,1/($B$1:B123=B124),$P$1:P123),0)/IFERROR(LOOKUP(2,1/($B$1:B123=B124),$O$1:O123),0)*$E124,0),"return_of_capital",IFERROR(LOOKUP(2,1/($B$1:B123=B124),$P$1:P123),0)-ABS($M124),"split",IFERROR(LOOKUP(2,1/($B$1:B123=B124),$P$1:P123),0),IFERROR(LOOKUP(2,1/($B$1:B123=B124),$P$1:P123),0)))</x:f>
      </x:c>
      <x:c r="Q124" t="str">
        <x:f>IFERROR($P124/$O124,"")</x:f>
      </x:c>
      <x:c r="R124" t="str">
        <x:f>IF(LOWER($D124)="sell",$M124-$N124-IFERROR(IFERROR(LOOKUP(2,1/($B$1:B123=B124),$P$1:P123),0)/IFERROR(LOOKUP(2,1/($B$1:B123=B124),$O$1:O123),0)*$E124,0),"")</x:f>
      </x:c>
      <x:c r="S124" t="str">
        <x:f>IF(COUNTA($A124:$D124)=0,"",IF($B124="","Missing symbol",IF($D124="","Missing action",IF(AND(LOWER($D124)="sell",$E124&gt;IFERROR(LOOKUP(2,1/($B$1:B123=B124),$O$1:O123),0)),"Sold more units than available","OK"))))</x:f>
      </x:c>
    </x:row>
    <x:row r="125">
      <x:c r="M125" t="str">
        <x:f>IF(COUNTA($A125:$D125)=0,"",IF($G125&lt;&gt;"",$G125,IF(AND($E125&lt;&gt;"",$F125&lt;&gt;""),$E125*$F125,""))*IF($J125&lt;&gt;"",$J125,1))</x:f>
      </x:c>
      <x:c r="N125" t="str">
        <x:f>IF(COUNTA($A125:$D125)=0,"",IF($H125&lt;&gt;"",$H125,0)*IF($J125&lt;&gt;"",$J125,1))</x:f>
      </x:c>
      <x:c r="O125" t="str">
        <x:f>IF(COUNTA($A125:$D125)=0,"",SWITCH(LOWER($D125),"buy",IFERROR(LOOKUP(2,1/($B$1:B124=B125),$O$1:O124),0)+$E125,"drip",IFERROR(LOOKUP(2,1/($B$1:B124=B125),$O$1:O124),0)+$E125,"sell",IFERROR(LOOKUP(2,1/($B$1:B124=B125),$O$1:O124),0)-$E125,"return_of_capital",IFERROR(LOOKUP(2,1/($B$1:B124=B125),$O$1:O124),0),"split",$E125,IFERROR(LOOKUP(2,1/($B$1:B124=B125),$O$1:O124),0)))</x:f>
      </x:c>
      <x:c r="P125" t="str">
        <x:f>IF(COUNTA($A125:$D125)=0,"",SWITCH(LOWER($D125),"buy",IFERROR(LOOKUP(2,1/($B$1:B124=B125),$P$1:P124),0)+$M125+$N125,"drip",IFERROR(LOOKUP(2,1/($B$1:B124=B125),$P$1:P124),0)+$M125+$N125,"sell",IFERROR(LOOKUP(2,1/($B$1:B124=B125),$P$1:P124),0)-IFERROR(IFERROR(LOOKUP(2,1/($B$1:B124=B125),$P$1:P124),0)/IFERROR(LOOKUP(2,1/($B$1:B124=B125),$O$1:O124),0)*$E125,0),"return_of_capital",IFERROR(LOOKUP(2,1/($B$1:B124=B125),$P$1:P124),0)-ABS($M125),"split",IFERROR(LOOKUP(2,1/($B$1:B124=B125),$P$1:P124),0),IFERROR(LOOKUP(2,1/($B$1:B124=B125),$P$1:P124),0)))</x:f>
      </x:c>
      <x:c r="Q125" t="str">
        <x:f>IFERROR($P125/$O125,"")</x:f>
      </x:c>
      <x:c r="R125" t="str">
        <x:f>IF(LOWER($D125)="sell",$M125-$N125-IFERROR(IFERROR(LOOKUP(2,1/($B$1:B124=B125),$P$1:P124),0)/IFERROR(LOOKUP(2,1/($B$1:B124=B125),$O$1:O124),0)*$E125,0),"")</x:f>
      </x:c>
      <x:c r="S125" t="str">
        <x:f>IF(COUNTA($A125:$D125)=0,"",IF($B125="","Missing symbol",IF($D125="","Missing action",IF(AND(LOWER($D125)="sell",$E125&gt;IFERROR(LOOKUP(2,1/($B$1:B124=B125),$O$1:O124),0)),"Sold more units than available","OK"))))</x:f>
      </x:c>
    </x:row>
    <x:row r="126">
      <x:c r="M126" t="str">
        <x:f>IF(COUNTA($A126:$D126)=0,"",IF($G126&lt;&gt;"",$G126,IF(AND($E126&lt;&gt;"",$F126&lt;&gt;""),$E126*$F126,""))*IF($J126&lt;&gt;"",$J126,1))</x:f>
      </x:c>
      <x:c r="N126" t="str">
        <x:f>IF(COUNTA($A126:$D126)=0,"",IF($H126&lt;&gt;"",$H126,0)*IF($J126&lt;&gt;"",$J126,1))</x:f>
      </x:c>
      <x:c r="O126" t="str">
        <x:f>IF(COUNTA($A126:$D126)=0,"",SWITCH(LOWER($D126),"buy",IFERROR(LOOKUP(2,1/($B$1:B125=B126),$O$1:O125),0)+$E126,"drip",IFERROR(LOOKUP(2,1/($B$1:B125=B126),$O$1:O125),0)+$E126,"sell",IFERROR(LOOKUP(2,1/($B$1:B125=B126),$O$1:O125),0)-$E126,"return_of_capital",IFERROR(LOOKUP(2,1/($B$1:B125=B126),$O$1:O125),0),"split",$E126,IFERROR(LOOKUP(2,1/($B$1:B125=B126),$O$1:O125),0)))</x:f>
      </x:c>
      <x:c r="P126" t="str">
        <x:f>IF(COUNTA($A126:$D126)=0,"",SWITCH(LOWER($D126),"buy",IFERROR(LOOKUP(2,1/($B$1:B125=B126),$P$1:P125),0)+$M126+$N126,"drip",IFERROR(LOOKUP(2,1/($B$1:B125=B126),$P$1:P125),0)+$M126+$N126,"sell",IFERROR(LOOKUP(2,1/($B$1:B125=B126),$P$1:P125),0)-IFERROR(IFERROR(LOOKUP(2,1/($B$1:B125=B126),$P$1:P125),0)/IFERROR(LOOKUP(2,1/($B$1:B125=B126),$O$1:O125),0)*$E126,0),"return_of_capital",IFERROR(LOOKUP(2,1/($B$1:B125=B126),$P$1:P125),0)-ABS($M126),"split",IFERROR(LOOKUP(2,1/($B$1:B125=B126),$P$1:P125),0),IFERROR(LOOKUP(2,1/($B$1:B125=B126),$P$1:P125),0)))</x:f>
      </x:c>
      <x:c r="Q126" t="str">
        <x:f>IFERROR($P126/$O126,"")</x:f>
      </x:c>
      <x:c r="R126" t="str">
        <x:f>IF(LOWER($D126)="sell",$M126-$N126-IFERROR(IFERROR(LOOKUP(2,1/($B$1:B125=B126),$P$1:P125),0)/IFERROR(LOOKUP(2,1/($B$1:B125=B126),$O$1:O125),0)*$E126,0),"")</x:f>
      </x:c>
      <x:c r="S126" t="str">
        <x:f>IF(COUNTA($A126:$D126)=0,"",IF($B126="","Missing symbol",IF($D126="","Missing action",IF(AND(LOWER($D126)="sell",$E126&gt;IFERROR(LOOKUP(2,1/($B$1:B125=B126),$O$1:O125),0)),"Sold more units than available","OK"))))</x:f>
      </x:c>
    </x:row>
    <x:row r="127">
      <x:c r="M127" t="str">
        <x:f>IF(COUNTA($A127:$D127)=0,"",IF($G127&lt;&gt;"",$G127,IF(AND($E127&lt;&gt;"",$F127&lt;&gt;""),$E127*$F127,""))*IF($J127&lt;&gt;"",$J127,1))</x:f>
      </x:c>
      <x:c r="N127" t="str">
        <x:f>IF(COUNTA($A127:$D127)=0,"",IF($H127&lt;&gt;"",$H127,0)*IF($J127&lt;&gt;"",$J127,1))</x:f>
      </x:c>
      <x:c r="O127" t="str">
        <x:f>IF(COUNTA($A127:$D127)=0,"",SWITCH(LOWER($D127),"buy",IFERROR(LOOKUP(2,1/($B$1:B126=B127),$O$1:O126),0)+$E127,"drip",IFERROR(LOOKUP(2,1/($B$1:B126=B127),$O$1:O126),0)+$E127,"sell",IFERROR(LOOKUP(2,1/($B$1:B126=B127),$O$1:O126),0)-$E127,"return_of_capital",IFERROR(LOOKUP(2,1/($B$1:B126=B127),$O$1:O126),0),"split",$E127,IFERROR(LOOKUP(2,1/($B$1:B126=B127),$O$1:O126),0)))</x:f>
      </x:c>
      <x:c r="P127" t="str">
        <x:f>IF(COUNTA($A127:$D127)=0,"",SWITCH(LOWER($D127),"buy",IFERROR(LOOKUP(2,1/($B$1:B126=B127),$P$1:P126),0)+$M127+$N127,"drip",IFERROR(LOOKUP(2,1/($B$1:B126=B127),$P$1:P126),0)+$M127+$N127,"sell",IFERROR(LOOKUP(2,1/($B$1:B126=B127),$P$1:P126),0)-IFERROR(IFERROR(LOOKUP(2,1/($B$1:B126=B127),$P$1:P126),0)/IFERROR(LOOKUP(2,1/($B$1:B126=B127),$O$1:O126),0)*$E127,0),"return_of_capital",IFERROR(LOOKUP(2,1/($B$1:B126=B127),$P$1:P126),0)-ABS($M127),"split",IFERROR(LOOKUP(2,1/($B$1:B126=B127),$P$1:P126),0),IFERROR(LOOKUP(2,1/($B$1:B126=B127),$P$1:P126),0)))</x:f>
      </x:c>
      <x:c r="Q127" t="str">
        <x:f>IFERROR($P127/$O127,"")</x:f>
      </x:c>
      <x:c r="R127" t="str">
        <x:f>IF(LOWER($D127)="sell",$M127-$N127-IFERROR(IFERROR(LOOKUP(2,1/($B$1:B126=B127),$P$1:P126),0)/IFERROR(LOOKUP(2,1/($B$1:B126=B127),$O$1:O126),0)*$E127,0),"")</x:f>
      </x:c>
      <x:c r="S127" t="str">
        <x:f>IF(COUNTA($A127:$D127)=0,"",IF($B127="","Missing symbol",IF($D127="","Missing action",IF(AND(LOWER($D127)="sell",$E127&gt;IFERROR(LOOKUP(2,1/($B$1:B126=B127),$O$1:O126),0)),"Sold more units than available","OK"))))</x:f>
      </x:c>
    </x:row>
    <x:row r="128">
      <x:c r="M128" t="str">
        <x:f>IF(COUNTA($A128:$D128)=0,"",IF($G128&lt;&gt;"",$G128,IF(AND($E128&lt;&gt;"",$F128&lt;&gt;""),$E128*$F128,""))*IF($J128&lt;&gt;"",$J128,1))</x:f>
      </x:c>
      <x:c r="N128" t="str">
        <x:f>IF(COUNTA($A128:$D128)=0,"",IF($H128&lt;&gt;"",$H128,0)*IF($J128&lt;&gt;"",$J128,1))</x:f>
      </x:c>
      <x:c r="O128" t="str">
        <x:f>IF(COUNTA($A128:$D128)=0,"",SWITCH(LOWER($D128),"buy",IFERROR(LOOKUP(2,1/($B$1:B127=B128),$O$1:O127),0)+$E128,"drip",IFERROR(LOOKUP(2,1/($B$1:B127=B128),$O$1:O127),0)+$E128,"sell",IFERROR(LOOKUP(2,1/($B$1:B127=B128),$O$1:O127),0)-$E128,"return_of_capital",IFERROR(LOOKUP(2,1/($B$1:B127=B128),$O$1:O127),0),"split",$E128,IFERROR(LOOKUP(2,1/($B$1:B127=B128),$O$1:O127),0)))</x:f>
      </x:c>
      <x:c r="P128" t="str">
        <x:f>IF(COUNTA($A128:$D128)=0,"",SWITCH(LOWER($D128),"buy",IFERROR(LOOKUP(2,1/($B$1:B127=B128),$P$1:P127),0)+$M128+$N128,"drip",IFERROR(LOOKUP(2,1/($B$1:B127=B128),$P$1:P127),0)+$M128+$N128,"sell",IFERROR(LOOKUP(2,1/($B$1:B127=B128),$P$1:P127),0)-IFERROR(IFERROR(LOOKUP(2,1/($B$1:B127=B128),$P$1:P127),0)/IFERROR(LOOKUP(2,1/($B$1:B127=B128),$O$1:O127),0)*$E128,0),"return_of_capital",IFERROR(LOOKUP(2,1/($B$1:B127=B128),$P$1:P127),0)-ABS($M128),"split",IFERROR(LOOKUP(2,1/($B$1:B127=B128),$P$1:P127),0),IFERROR(LOOKUP(2,1/($B$1:B127=B128),$P$1:P127),0)))</x:f>
      </x:c>
      <x:c r="Q128" t="str">
        <x:f>IFERROR($P128/$O128,"")</x:f>
      </x:c>
      <x:c r="R128" t="str">
        <x:f>IF(LOWER($D128)="sell",$M128-$N128-IFERROR(IFERROR(LOOKUP(2,1/($B$1:B127=B128),$P$1:P127),0)/IFERROR(LOOKUP(2,1/($B$1:B127=B128),$O$1:O127),0)*$E128,0),"")</x:f>
      </x:c>
      <x:c r="S128" t="str">
        <x:f>IF(COUNTA($A128:$D128)=0,"",IF($B128="","Missing symbol",IF($D128="","Missing action",IF(AND(LOWER($D128)="sell",$E128&gt;IFERROR(LOOKUP(2,1/($B$1:B127=B128),$O$1:O127),0)),"Sold more units than available","OK"))))</x:f>
      </x:c>
    </x:row>
    <x:row r="129">
      <x:c r="M129" t="str">
        <x:f>IF(COUNTA($A129:$D129)=0,"",IF($G129&lt;&gt;"",$G129,IF(AND($E129&lt;&gt;"",$F129&lt;&gt;""),$E129*$F129,""))*IF($J129&lt;&gt;"",$J129,1))</x:f>
      </x:c>
      <x:c r="N129" t="str">
        <x:f>IF(COUNTA($A129:$D129)=0,"",IF($H129&lt;&gt;"",$H129,0)*IF($J129&lt;&gt;"",$J129,1))</x:f>
      </x:c>
      <x:c r="O129" t="str">
        <x:f>IF(COUNTA($A129:$D129)=0,"",SWITCH(LOWER($D129),"buy",IFERROR(LOOKUP(2,1/($B$1:B128=B129),$O$1:O128),0)+$E129,"drip",IFERROR(LOOKUP(2,1/($B$1:B128=B129),$O$1:O128),0)+$E129,"sell",IFERROR(LOOKUP(2,1/($B$1:B128=B129),$O$1:O128),0)-$E129,"return_of_capital",IFERROR(LOOKUP(2,1/($B$1:B128=B129),$O$1:O128),0),"split",$E129,IFERROR(LOOKUP(2,1/($B$1:B128=B129),$O$1:O128),0)))</x:f>
      </x:c>
      <x:c r="P129" t="str">
        <x:f>IF(COUNTA($A129:$D129)=0,"",SWITCH(LOWER($D129),"buy",IFERROR(LOOKUP(2,1/($B$1:B128=B129),$P$1:P128),0)+$M129+$N129,"drip",IFERROR(LOOKUP(2,1/($B$1:B128=B129),$P$1:P128),0)+$M129+$N129,"sell",IFERROR(LOOKUP(2,1/($B$1:B128=B129),$P$1:P128),0)-IFERROR(IFERROR(LOOKUP(2,1/($B$1:B128=B129),$P$1:P128),0)/IFERROR(LOOKUP(2,1/($B$1:B128=B129),$O$1:O128),0)*$E129,0),"return_of_capital",IFERROR(LOOKUP(2,1/($B$1:B128=B129),$P$1:P128),0)-ABS($M129),"split",IFERROR(LOOKUP(2,1/($B$1:B128=B129),$P$1:P128),0),IFERROR(LOOKUP(2,1/($B$1:B128=B129),$P$1:P128),0)))</x:f>
      </x:c>
      <x:c r="Q129" t="str">
        <x:f>IFERROR($P129/$O129,"")</x:f>
      </x:c>
      <x:c r="R129" t="str">
        <x:f>IF(LOWER($D129)="sell",$M129-$N129-IFERROR(IFERROR(LOOKUP(2,1/($B$1:B128=B129),$P$1:P128),0)/IFERROR(LOOKUP(2,1/($B$1:B128=B129),$O$1:O128),0)*$E129,0),"")</x:f>
      </x:c>
      <x:c r="S129" t="str">
        <x:f>IF(COUNTA($A129:$D129)=0,"",IF($B129="","Missing symbol",IF($D129="","Missing action",IF(AND(LOWER($D129)="sell",$E129&gt;IFERROR(LOOKUP(2,1/($B$1:B128=B129),$O$1:O128),0)),"Sold more units than available","OK"))))</x:f>
      </x:c>
    </x:row>
    <x:row r="130">
      <x:c r="M130" t="str">
        <x:f>IF(COUNTA($A130:$D130)=0,"",IF($G130&lt;&gt;"",$G130,IF(AND($E130&lt;&gt;"",$F130&lt;&gt;""),$E130*$F130,""))*IF($J130&lt;&gt;"",$J130,1))</x:f>
      </x:c>
      <x:c r="N130" t="str">
        <x:f>IF(COUNTA($A130:$D130)=0,"",IF($H130&lt;&gt;"",$H130,0)*IF($J130&lt;&gt;"",$J130,1))</x:f>
      </x:c>
      <x:c r="O130" t="str">
        <x:f>IF(COUNTA($A130:$D130)=0,"",SWITCH(LOWER($D130),"buy",IFERROR(LOOKUP(2,1/($B$1:B129=B130),$O$1:O129),0)+$E130,"drip",IFERROR(LOOKUP(2,1/($B$1:B129=B130),$O$1:O129),0)+$E130,"sell",IFERROR(LOOKUP(2,1/($B$1:B129=B130),$O$1:O129),0)-$E130,"return_of_capital",IFERROR(LOOKUP(2,1/($B$1:B129=B130),$O$1:O129),0),"split",$E130,IFERROR(LOOKUP(2,1/($B$1:B129=B130),$O$1:O129),0)))</x:f>
      </x:c>
      <x:c r="P130" t="str">
        <x:f>IF(COUNTA($A130:$D130)=0,"",SWITCH(LOWER($D130),"buy",IFERROR(LOOKUP(2,1/($B$1:B129=B130),$P$1:P129),0)+$M130+$N130,"drip",IFERROR(LOOKUP(2,1/($B$1:B129=B130),$P$1:P129),0)+$M130+$N130,"sell",IFERROR(LOOKUP(2,1/($B$1:B129=B130),$P$1:P129),0)-IFERROR(IFERROR(LOOKUP(2,1/($B$1:B129=B130),$P$1:P129),0)/IFERROR(LOOKUP(2,1/($B$1:B129=B130),$O$1:O129),0)*$E130,0),"return_of_capital",IFERROR(LOOKUP(2,1/($B$1:B129=B130),$P$1:P129),0)-ABS($M130),"split",IFERROR(LOOKUP(2,1/($B$1:B129=B130),$P$1:P129),0),IFERROR(LOOKUP(2,1/($B$1:B129=B130),$P$1:P129),0)))</x:f>
      </x:c>
      <x:c r="Q130" t="str">
        <x:f>IFERROR($P130/$O130,"")</x:f>
      </x:c>
      <x:c r="R130" t="str">
        <x:f>IF(LOWER($D130)="sell",$M130-$N130-IFERROR(IFERROR(LOOKUP(2,1/($B$1:B129=B130),$P$1:P129),0)/IFERROR(LOOKUP(2,1/($B$1:B129=B130),$O$1:O129),0)*$E130,0),"")</x:f>
      </x:c>
      <x:c r="S130" t="str">
        <x:f>IF(COUNTA($A130:$D130)=0,"",IF($B130="","Missing symbol",IF($D130="","Missing action",IF(AND(LOWER($D130)="sell",$E130&gt;IFERROR(LOOKUP(2,1/($B$1:B129=B130),$O$1:O129),0)),"Sold more units than available","OK"))))</x:f>
      </x:c>
    </x:row>
    <x:row r="131">
      <x:c r="M131" t="str">
        <x:f>IF(COUNTA($A131:$D131)=0,"",IF($G131&lt;&gt;"",$G131,IF(AND($E131&lt;&gt;"",$F131&lt;&gt;""),$E131*$F131,""))*IF($J131&lt;&gt;"",$J131,1))</x:f>
      </x:c>
      <x:c r="N131" t="str">
        <x:f>IF(COUNTA($A131:$D131)=0,"",IF($H131&lt;&gt;"",$H131,0)*IF($J131&lt;&gt;"",$J131,1))</x:f>
      </x:c>
      <x:c r="O131" t="str">
        <x:f>IF(COUNTA($A131:$D131)=0,"",SWITCH(LOWER($D131),"buy",IFERROR(LOOKUP(2,1/($B$1:B130=B131),$O$1:O130),0)+$E131,"drip",IFERROR(LOOKUP(2,1/($B$1:B130=B131),$O$1:O130),0)+$E131,"sell",IFERROR(LOOKUP(2,1/($B$1:B130=B131),$O$1:O130),0)-$E131,"return_of_capital",IFERROR(LOOKUP(2,1/($B$1:B130=B131),$O$1:O130),0),"split",$E131,IFERROR(LOOKUP(2,1/($B$1:B130=B131),$O$1:O130),0)))</x:f>
      </x:c>
      <x:c r="P131" t="str">
        <x:f>IF(COUNTA($A131:$D131)=0,"",SWITCH(LOWER($D131),"buy",IFERROR(LOOKUP(2,1/($B$1:B130=B131),$P$1:P130),0)+$M131+$N131,"drip",IFERROR(LOOKUP(2,1/($B$1:B130=B131),$P$1:P130),0)+$M131+$N131,"sell",IFERROR(LOOKUP(2,1/($B$1:B130=B131),$P$1:P130),0)-IFERROR(IFERROR(LOOKUP(2,1/($B$1:B130=B131),$P$1:P130),0)/IFERROR(LOOKUP(2,1/($B$1:B130=B131),$O$1:O130),0)*$E131,0),"return_of_capital",IFERROR(LOOKUP(2,1/($B$1:B130=B131),$P$1:P130),0)-ABS($M131),"split",IFERROR(LOOKUP(2,1/($B$1:B130=B131),$P$1:P130),0),IFERROR(LOOKUP(2,1/($B$1:B130=B131),$P$1:P130),0)))</x:f>
      </x:c>
      <x:c r="Q131" t="str">
        <x:f>IFERROR($P131/$O131,"")</x:f>
      </x:c>
      <x:c r="R131" t="str">
        <x:f>IF(LOWER($D131)="sell",$M131-$N131-IFERROR(IFERROR(LOOKUP(2,1/($B$1:B130=B131),$P$1:P130),0)/IFERROR(LOOKUP(2,1/($B$1:B130=B131),$O$1:O130),0)*$E131,0),"")</x:f>
      </x:c>
      <x:c r="S131" t="str">
        <x:f>IF(COUNTA($A131:$D131)=0,"",IF($B131="","Missing symbol",IF($D131="","Missing action",IF(AND(LOWER($D131)="sell",$E131&gt;IFERROR(LOOKUP(2,1/($B$1:B130=B131),$O$1:O130),0)),"Sold more units than available","OK"))))</x:f>
      </x:c>
    </x:row>
    <x:row r="132">
      <x:c r="M132" t="str">
        <x:f>IF(COUNTA($A132:$D132)=0,"",IF($G132&lt;&gt;"",$G132,IF(AND($E132&lt;&gt;"",$F132&lt;&gt;""),$E132*$F132,""))*IF($J132&lt;&gt;"",$J132,1))</x:f>
      </x:c>
      <x:c r="N132" t="str">
        <x:f>IF(COUNTA($A132:$D132)=0,"",IF($H132&lt;&gt;"",$H132,0)*IF($J132&lt;&gt;"",$J132,1))</x:f>
      </x:c>
      <x:c r="O132" t="str">
        <x:f>IF(COUNTA($A132:$D132)=0,"",SWITCH(LOWER($D132),"buy",IFERROR(LOOKUP(2,1/($B$1:B131=B132),$O$1:O131),0)+$E132,"drip",IFERROR(LOOKUP(2,1/($B$1:B131=B132),$O$1:O131),0)+$E132,"sell",IFERROR(LOOKUP(2,1/($B$1:B131=B132),$O$1:O131),0)-$E132,"return_of_capital",IFERROR(LOOKUP(2,1/($B$1:B131=B132),$O$1:O131),0),"split",$E132,IFERROR(LOOKUP(2,1/($B$1:B131=B132),$O$1:O131),0)))</x:f>
      </x:c>
      <x:c r="P132" t="str">
        <x:f>IF(COUNTA($A132:$D132)=0,"",SWITCH(LOWER($D132),"buy",IFERROR(LOOKUP(2,1/($B$1:B131=B132),$P$1:P131),0)+$M132+$N132,"drip",IFERROR(LOOKUP(2,1/($B$1:B131=B132),$P$1:P131),0)+$M132+$N132,"sell",IFERROR(LOOKUP(2,1/($B$1:B131=B132),$P$1:P131),0)-IFERROR(IFERROR(LOOKUP(2,1/($B$1:B131=B132),$P$1:P131),0)/IFERROR(LOOKUP(2,1/($B$1:B131=B132),$O$1:O131),0)*$E132,0),"return_of_capital",IFERROR(LOOKUP(2,1/($B$1:B131=B132),$P$1:P131),0)-ABS($M132),"split",IFERROR(LOOKUP(2,1/($B$1:B131=B132),$P$1:P131),0),IFERROR(LOOKUP(2,1/($B$1:B131=B132),$P$1:P131),0)))</x:f>
      </x:c>
      <x:c r="Q132" t="str">
        <x:f>IFERROR($P132/$O132,"")</x:f>
      </x:c>
      <x:c r="R132" t="str">
        <x:f>IF(LOWER($D132)="sell",$M132-$N132-IFERROR(IFERROR(LOOKUP(2,1/($B$1:B131=B132),$P$1:P131),0)/IFERROR(LOOKUP(2,1/($B$1:B131=B132),$O$1:O131),0)*$E132,0),"")</x:f>
      </x:c>
      <x:c r="S132" t="str">
        <x:f>IF(COUNTA($A132:$D132)=0,"",IF($B132="","Missing symbol",IF($D132="","Missing action",IF(AND(LOWER($D132)="sell",$E132&gt;IFERROR(LOOKUP(2,1/($B$1:B131=B132),$O$1:O131),0)),"Sold more units than available","OK"))))</x:f>
      </x:c>
    </x:row>
    <x:row r="133">
      <x:c r="M133" t="str">
        <x:f>IF(COUNTA($A133:$D133)=0,"",IF($G133&lt;&gt;"",$G133,IF(AND($E133&lt;&gt;"",$F133&lt;&gt;""),$E133*$F133,""))*IF($J133&lt;&gt;"",$J133,1))</x:f>
      </x:c>
      <x:c r="N133" t="str">
        <x:f>IF(COUNTA($A133:$D133)=0,"",IF($H133&lt;&gt;"",$H133,0)*IF($J133&lt;&gt;"",$J133,1))</x:f>
      </x:c>
      <x:c r="O133" t="str">
        <x:f>IF(COUNTA($A133:$D133)=0,"",SWITCH(LOWER($D133),"buy",IFERROR(LOOKUP(2,1/($B$1:B132=B133),$O$1:O132),0)+$E133,"drip",IFERROR(LOOKUP(2,1/($B$1:B132=B133),$O$1:O132),0)+$E133,"sell",IFERROR(LOOKUP(2,1/($B$1:B132=B133),$O$1:O132),0)-$E133,"return_of_capital",IFERROR(LOOKUP(2,1/($B$1:B132=B133),$O$1:O132),0),"split",$E133,IFERROR(LOOKUP(2,1/($B$1:B132=B133),$O$1:O132),0)))</x:f>
      </x:c>
      <x:c r="P133" t="str">
        <x:f>IF(COUNTA($A133:$D133)=0,"",SWITCH(LOWER($D133),"buy",IFERROR(LOOKUP(2,1/($B$1:B132=B133),$P$1:P132),0)+$M133+$N133,"drip",IFERROR(LOOKUP(2,1/($B$1:B132=B133),$P$1:P132),0)+$M133+$N133,"sell",IFERROR(LOOKUP(2,1/($B$1:B132=B133),$P$1:P132),0)-IFERROR(IFERROR(LOOKUP(2,1/($B$1:B132=B133),$P$1:P132),0)/IFERROR(LOOKUP(2,1/($B$1:B132=B133),$O$1:O132),0)*$E133,0),"return_of_capital",IFERROR(LOOKUP(2,1/($B$1:B132=B133),$P$1:P132),0)-ABS($M133),"split",IFERROR(LOOKUP(2,1/($B$1:B132=B133),$P$1:P132),0),IFERROR(LOOKUP(2,1/($B$1:B132=B133),$P$1:P132),0)))</x:f>
      </x:c>
      <x:c r="Q133" t="str">
        <x:f>IFERROR($P133/$O133,"")</x:f>
      </x:c>
      <x:c r="R133" t="str">
        <x:f>IF(LOWER($D133)="sell",$M133-$N133-IFERROR(IFERROR(LOOKUP(2,1/($B$1:B132=B133),$P$1:P132),0)/IFERROR(LOOKUP(2,1/($B$1:B132=B133),$O$1:O132),0)*$E133,0),"")</x:f>
      </x:c>
      <x:c r="S133" t="str">
        <x:f>IF(COUNTA($A133:$D133)=0,"",IF($B133="","Missing symbol",IF($D133="","Missing action",IF(AND(LOWER($D133)="sell",$E133&gt;IFERROR(LOOKUP(2,1/($B$1:B132=B133),$O$1:O132),0)),"Sold more units than available","OK"))))</x:f>
      </x:c>
    </x:row>
    <x:row r="134">
      <x:c r="M134" t="str">
        <x:f>IF(COUNTA($A134:$D134)=0,"",IF($G134&lt;&gt;"",$G134,IF(AND($E134&lt;&gt;"",$F134&lt;&gt;""),$E134*$F134,""))*IF($J134&lt;&gt;"",$J134,1))</x:f>
      </x:c>
      <x:c r="N134" t="str">
        <x:f>IF(COUNTA($A134:$D134)=0,"",IF($H134&lt;&gt;"",$H134,0)*IF($J134&lt;&gt;"",$J134,1))</x:f>
      </x:c>
      <x:c r="O134" t="str">
        <x:f>IF(COUNTA($A134:$D134)=0,"",SWITCH(LOWER($D134),"buy",IFERROR(LOOKUP(2,1/($B$1:B133=B134),$O$1:O133),0)+$E134,"drip",IFERROR(LOOKUP(2,1/($B$1:B133=B134),$O$1:O133),0)+$E134,"sell",IFERROR(LOOKUP(2,1/($B$1:B133=B134),$O$1:O133),0)-$E134,"return_of_capital",IFERROR(LOOKUP(2,1/($B$1:B133=B134),$O$1:O133),0),"split",$E134,IFERROR(LOOKUP(2,1/($B$1:B133=B134),$O$1:O133),0)))</x:f>
      </x:c>
      <x:c r="P134" t="str">
        <x:f>IF(COUNTA($A134:$D134)=0,"",SWITCH(LOWER($D134),"buy",IFERROR(LOOKUP(2,1/($B$1:B133=B134),$P$1:P133),0)+$M134+$N134,"drip",IFERROR(LOOKUP(2,1/($B$1:B133=B134),$P$1:P133),0)+$M134+$N134,"sell",IFERROR(LOOKUP(2,1/($B$1:B133=B134),$P$1:P133),0)-IFERROR(IFERROR(LOOKUP(2,1/($B$1:B133=B134),$P$1:P133),0)/IFERROR(LOOKUP(2,1/($B$1:B133=B134),$O$1:O133),0)*$E134,0),"return_of_capital",IFERROR(LOOKUP(2,1/($B$1:B133=B134),$P$1:P133),0)-ABS($M134),"split",IFERROR(LOOKUP(2,1/($B$1:B133=B134),$P$1:P133),0),IFERROR(LOOKUP(2,1/($B$1:B133=B134),$P$1:P133),0)))</x:f>
      </x:c>
      <x:c r="Q134" t="str">
        <x:f>IFERROR($P134/$O134,"")</x:f>
      </x:c>
      <x:c r="R134" t="str">
        <x:f>IF(LOWER($D134)="sell",$M134-$N134-IFERROR(IFERROR(LOOKUP(2,1/($B$1:B133=B134),$P$1:P133),0)/IFERROR(LOOKUP(2,1/($B$1:B133=B134),$O$1:O133),0)*$E134,0),"")</x:f>
      </x:c>
      <x:c r="S134" t="str">
        <x:f>IF(COUNTA($A134:$D134)=0,"",IF($B134="","Missing symbol",IF($D134="","Missing action",IF(AND(LOWER($D134)="sell",$E134&gt;IFERROR(LOOKUP(2,1/($B$1:B133=B134),$O$1:O133),0)),"Sold more units than available","OK"))))</x:f>
      </x:c>
    </x:row>
    <x:row r="135">
      <x:c r="M135" t="str">
        <x:f>IF(COUNTA($A135:$D135)=0,"",IF($G135&lt;&gt;"",$G135,IF(AND($E135&lt;&gt;"",$F135&lt;&gt;""),$E135*$F135,""))*IF($J135&lt;&gt;"",$J135,1))</x:f>
      </x:c>
      <x:c r="N135" t="str">
        <x:f>IF(COUNTA($A135:$D135)=0,"",IF($H135&lt;&gt;"",$H135,0)*IF($J135&lt;&gt;"",$J135,1))</x:f>
      </x:c>
      <x:c r="O135" t="str">
        <x:f>IF(COUNTA($A135:$D135)=0,"",SWITCH(LOWER($D135),"buy",IFERROR(LOOKUP(2,1/($B$1:B134=B135),$O$1:O134),0)+$E135,"drip",IFERROR(LOOKUP(2,1/($B$1:B134=B135),$O$1:O134),0)+$E135,"sell",IFERROR(LOOKUP(2,1/($B$1:B134=B135),$O$1:O134),0)-$E135,"return_of_capital",IFERROR(LOOKUP(2,1/($B$1:B134=B135),$O$1:O134),0),"split",$E135,IFERROR(LOOKUP(2,1/($B$1:B134=B135),$O$1:O134),0)))</x:f>
      </x:c>
      <x:c r="P135" t="str">
        <x:f>IF(COUNTA($A135:$D135)=0,"",SWITCH(LOWER($D135),"buy",IFERROR(LOOKUP(2,1/($B$1:B134=B135),$P$1:P134),0)+$M135+$N135,"drip",IFERROR(LOOKUP(2,1/($B$1:B134=B135),$P$1:P134),0)+$M135+$N135,"sell",IFERROR(LOOKUP(2,1/($B$1:B134=B135),$P$1:P134),0)-IFERROR(IFERROR(LOOKUP(2,1/($B$1:B134=B135),$P$1:P134),0)/IFERROR(LOOKUP(2,1/($B$1:B134=B135),$O$1:O134),0)*$E135,0),"return_of_capital",IFERROR(LOOKUP(2,1/($B$1:B134=B135),$P$1:P134),0)-ABS($M135),"split",IFERROR(LOOKUP(2,1/($B$1:B134=B135),$P$1:P134),0),IFERROR(LOOKUP(2,1/($B$1:B134=B135),$P$1:P134),0)))</x:f>
      </x:c>
      <x:c r="Q135" t="str">
        <x:f>IFERROR($P135/$O135,"")</x:f>
      </x:c>
      <x:c r="R135" t="str">
        <x:f>IF(LOWER($D135)="sell",$M135-$N135-IFERROR(IFERROR(LOOKUP(2,1/($B$1:B134=B135),$P$1:P134),0)/IFERROR(LOOKUP(2,1/($B$1:B134=B135),$O$1:O134),0)*$E135,0),"")</x:f>
      </x:c>
      <x:c r="S135" t="str">
        <x:f>IF(COUNTA($A135:$D135)=0,"",IF($B135="","Missing symbol",IF($D135="","Missing action",IF(AND(LOWER($D135)="sell",$E135&gt;IFERROR(LOOKUP(2,1/($B$1:B134=B135),$O$1:O134),0)),"Sold more units than available","OK"))))</x:f>
      </x:c>
    </x:row>
    <x:row r="136">
      <x:c r="M136" t="str">
        <x:f>IF(COUNTA($A136:$D136)=0,"",IF($G136&lt;&gt;"",$G136,IF(AND($E136&lt;&gt;"",$F136&lt;&gt;""),$E136*$F136,""))*IF($J136&lt;&gt;"",$J136,1))</x:f>
      </x:c>
      <x:c r="N136" t="str">
        <x:f>IF(COUNTA($A136:$D136)=0,"",IF($H136&lt;&gt;"",$H136,0)*IF($J136&lt;&gt;"",$J136,1))</x:f>
      </x:c>
      <x:c r="O136" t="str">
        <x:f>IF(COUNTA($A136:$D136)=0,"",SWITCH(LOWER($D136),"buy",IFERROR(LOOKUP(2,1/($B$1:B135=B136),$O$1:O135),0)+$E136,"drip",IFERROR(LOOKUP(2,1/($B$1:B135=B136),$O$1:O135),0)+$E136,"sell",IFERROR(LOOKUP(2,1/($B$1:B135=B136),$O$1:O135),0)-$E136,"return_of_capital",IFERROR(LOOKUP(2,1/($B$1:B135=B136),$O$1:O135),0),"split",$E136,IFERROR(LOOKUP(2,1/($B$1:B135=B136),$O$1:O135),0)))</x:f>
      </x:c>
      <x:c r="P136" t="str">
        <x:f>IF(COUNTA($A136:$D136)=0,"",SWITCH(LOWER($D136),"buy",IFERROR(LOOKUP(2,1/($B$1:B135=B136),$P$1:P135),0)+$M136+$N136,"drip",IFERROR(LOOKUP(2,1/($B$1:B135=B136),$P$1:P135),0)+$M136+$N136,"sell",IFERROR(LOOKUP(2,1/($B$1:B135=B136),$P$1:P135),0)-IFERROR(IFERROR(LOOKUP(2,1/($B$1:B135=B136),$P$1:P135),0)/IFERROR(LOOKUP(2,1/($B$1:B135=B136),$O$1:O135),0)*$E136,0),"return_of_capital",IFERROR(LOOKUP(2,1/($B$1:B135=B136),$P$1:P135),0)-ABS($M136),"split",IFERROR(LOOKUP(2,1/($B$1:B135=B136),$P$1:P135),0),IFERROR(LOOKUP(2,1/($B$1:B135=B136),$P$1:P135),0)))</x:f>
      </x:c>
      <x:c r="Q136" t="str">
        <x:f>IFERROR($P136/$O136,"")</x:f>
      </x:c>
      <x:c r="R136" t="str">
        <x:f>IF(LOWER($D136)="sell",$M136-$N136-IFERROR(IFERROR(LOOKUP(2,1/($B$1:B135=B136),$P$1:P135),0)/IFERROR(LOOKUP(2,1/($B$1:B135=B136),$O$1:O135),0)*$E136,0),"")</x:f>
      </x:c>
      <x:c r="S136" t="str">
        <x:f>IF(COUNTA($A136:$D136)=0,"",IF($B136="","Missing symbol",IF($D136="","Missing action",IF(AND(LOWER($D136)="sell",$E136&gt;IFERROR(LOOKUP(2,1/($B$1:B135=B136),$O$1:O135),0)),"Sold more units than available","OK"))))</x:f>
      </x:c>
    </x:row>
    <x:row r="137">
      <x:c r="M137" t="str">
        <x:f>IF(COUNTA($A137:$D137)=0,"",IF($G137&lt;&gt;"",$G137,IF(AND($E137&lt;&gt;"",$F137&lt;&gt;""),$E137*$F137,""))*IF($J137&lt;&gt;"",$J137,1))</x:f>
      </x:c>
      <x:c r="N137" t="str">
        <x:f>IF(COUNTA($A137:$D137)=0,"",IF($H137&lt;&gt;"",$H137,0)*IF($J137&lt;&gt;"",$J137,1))</x:f>
      </x:c>
      <x:c r="O137" t="str">
        <x:f>IF(COUNTA($A137:$D137)=0,"",SWITCH(LOWER($D137),"buy",IFERROR(LOOKUP(2,1/($B$1:B136=B137),$O$1:O136),0)+$E137,"drip",IFERROR(LOOKUP(2,1/($B$1:B136=B137),$O$1:O136),0)+$E137,"sell",IFERROR(LOOKUP(2,1/($B$1:B136=B137),$O$1:O136),0)-$E137,"return_of_capital",IFERROR(LOOKUP(2,1/($B$1:B136=B137),$O$1:O136),0),"split",$E137,IFERROR(LOOKUP(2,1/($B$1:B136=B137),$O$1:O136),0)))</x:f>
      </x:c>
      <x:c r="P137" t="str">
        <x:f>IF(COUNTA($A137:$D137)=0,"",SWITCH(LOWER($D137),"buy",IFERROR(LOOKUP(2,1/($B$1:B136=B137),$P$1:P136),0)+$M137+$N137,"drip",IFERROR(LOOKUP(2,1/($B$1:B136=B137),$P$1:P136),0)+$M137+$N137,"sell",IFERROR(LOOKUP(2,1/($B$1:B136=B137),$P$1:P136),0)-IFERROR(IFERROR(LOOKUP(2,1/($B$1:B136=B137),$P$1:P136),0)/IFERROR(LOOKUP(2,1/($B$1:B136=B137),$O$1:O136),0)*$E137,0),"return_of_capital",IFERROR(LOOKUP(2,1/($B$1:B136=B137),$P$1:P136),0)-ABS($M137),"split",IFERROR(LOOKUP(2,1/($B$1:B136=B137),$P$1:P136),0),IFERROR(LOOKUP(2,1/($B$1:B136=B137),$P$1:P136),0)))</x:f>
      </x:c>
      <x:c r="Q137" t="str">
        <x:f>IFERROR($P137/$O137,"")</x:f>
      </x:c>
      <x:c r="R137" t="str">
        <x:f>IF(LOWER($D137)="sell",$M137-$N137-IFERROR(IFERROR(LOOKUP(2,1/($B$1:B136=B137),$P$1:P136),0)/IFERROR(LOOKUP(2,1/($B$1:B136=B137),$O$1:O136),0)*$E137,0),"")</x:f>
      </x:c>
      <x:c r="S137" t="str">
        <x:f>IF(COUNTA($A137:$D137)=0,"",IF($B137="","Missing symbol",IF($D137="","Missing action",IF(AND(LOWER($D137)="sell",$E137&gt;IFERROR(LOOKUP(2,1/($B$1:B136=B137),$O$1:O136),0)),"Sold more units than available","OK"))))</x:f>
      </x:c>
    </x:row>
    <x:row r="138">
      <x:c r="M138" t="str">
        <x:f>IF(COUNTA($A138:$D138)=0,"",IF($G138&lt;&gt;"",$G138,IF(AND($E138&lt;&gt;"",$F138&lt;&gt;""),$E138*$F138,""))*IF($J138&lt;&gt;"",$J138,1))</x:f>
      </x:c>
      <x:c r="N138" t="str">
        <x:f>IF(COUNTA($A138:$D138)=0,"",IF($H138&lt;&gt;"",$H138,0)*IF($J138&lt;&gt;"",$J138,1))</x:f>
      </x:c>
      <x:c r="O138" t="str">
        <x:f>IF(COUNTA($A138:$D138)=0,"",SWITCH(LOWER($D138),"buy",IFERROR(LOOKUP(2,1/($B$1:B137=B138),$O$1:O137),0)+$E138,"drip",IFERROR(LOOKUP(2,1/($B$1:B137=B138),$O$1:O137),0)+$E138,"sell",IFERROR(LOOKUP(2,1/($B$1:B137=B138),$O$1:O137),0)-$E138,"return_of_capital",IFERROR(LOOKUP(2,1/($B$1:B137=B138),$O$1:O137),0),"split",$E138,IFERROR(LOOKUP(2,1/($B$1:B137=B138),$O$1:O137),0)))</x:f>
      </x:c>
      <x:c r="P138" t="str">
        <x:f>IF(COUNTA($A138:$D138)=0,"",SWITCH(LOWER($D138),"buy",IFERROR(LOOKUP(2,1/($B$1:B137=B138),$P$1:P137),0)+$M138+$N138,"drip",IFERROR(LOOKUP(2,1/($B$1:B137=B138),$P$1:P137),0)+$M138+$N138,"sell",IFERROR(LOOKUP(2,1/($B$1:B137=B138),$P$1:P137),0)-IFERROR(IFERROR(LOOKUP(2,1/($B$1:B137=B138),$P$1:P137),0)/IFERROR(LOOKUP(2,1/($B$1:B137=B138),$O$1:O137),0)*$E138,0),"return_of_capital",IFERROR(LOOKUP(2,1/($B$1:B137=B138),$P$1:P137),0)-ABS($M138),"split",IFERROR(LOOKUP(2,1/($B$1:B137=B138),$P$1:P137),0),IFERROR(LOOKUP(2,1/($B$1:B137=B138),$P$1:P137),0)))</x:f>
      </x:c>
      <x:c r="Q138" t="str">
        <x:f>IFERROR($P138/$O138,"")</x:f>
      </x:c>
      <x:c r="R138" t="str">
        <x:f>IF(LOWER($D138)="sell",$M138-$N138-IFERROR(IFERROR(LOOKUP(2,1/($B$1:B137=B138),$P$1:P137),0)/IFERROR(LOOKUP(2,1/($B$1:B137=B138),$O$1:O137),0)*$E138,0),"")</x:f>
      </x:c>
      <x:c r="S138" t="str">
        <x:f>IF(COUNTA($A138:$D138)=0,"",IF($B138="","Missing symbol",IF($D138="","Missing action",IF(AND(LOWER($D138)="sell",$E138&gt;IFERROR(LOOKUP(2,1/($B$1:B137=B138),$O$1:O137),0)),"Sold more units than available","OK"))))</x:f>
      </x:c>
    </x:row>
    <x:row r="139">
      <x:c r="M139" t="str">
        <x:f>IF(COUNTA($A139:$D139)=0,"",IF($G139&lt;&gt;"",$G139,IF(AND($E139&lt;&gt;"",$F139&lt;&gt;""),$E139*$F139,""))*IF($J139&lt;&gt;"",$J139,1))</x:f>
      </x:c>
      <x:c r="N139" t="str">
        <x:f>IF(COUNTA($A139:$D139)=0,"",IF($H139&lt;&gt;"",$H139,0)*IF($J139&lt;&gt;"",$J139,1))</x:f>
      </x:c>
      <x:c r="O139" t="str">
        <x:f>IF(COUNTA($A139:$D139)=0,"",SWITCH(LOWER($D139),"buy",IFERROR(LOOKUP(2,1/($B$1:B138=B139),$O$1:O138),0)+$E139,"drip",IFERROR(LOOKUP(2,1/($B$1:B138=B139),$O$1:O138),0)+$E139,"sell",IFERROR(LOOKUP(2,1/($B$1:B138=B139),$O$1:O138),0)-$E139,"return_of_capital",IFERROR(LOOKUP(2,1/($B$1:B138=B139),$O$1:O138),0),"split",$E139,IFERROR(LOOKUP(2,1/($B$1:B138=B139),$O$1:O138),0)))</x:f>
      </x:c>
      <x:c r="P139" t="str">
        <x:f>IF(COUNTA($A139:$D139)=0,"",SWITCH(LOWER($D139),"buy",IFERROR(LOOKUP(2,1/($B$1:B138=B139),$P$1:P138),0)+$M139+$N139,"drip",IFERROR(LOOKUP(2,1/($B$1:B138=B139),$P$1:P138),0)+$M139+$N139,"sell",IFERROR(LOOKUP(2,1/($B$1:B138=B139),$P$1:P138),0)-IFERROR(IFERROR(LOOKUP(2,1/($B$1:B138=B139),$P$1:P138),0)/IFERROR(LOOKUP(2,1/($B$1:B138=B139),$O$1:O138),0)*$E139,0),"return_of_capital",IFERROR(LOOKUP(2,1/($B$1:B138=B139),$P$1:P138),0)-ABS($M139),"split",IFERROR(LOOKUP(2,1/($B$1:B138=B139),$P$1:P138),0),IFERROR(LOOKUP(2,1/($B$1:B138=B139),$P$1:P138),0)))</x:f>
      </x:c>
      <x:c r="Q139" t="str">
        <x:f>IFERROR($P139/$O139,"")</x:f>
      </x:c>
      <x:c r="R139" t="str">
        <x:f>IF(LOWER($D139)="sell",$M139-$N139-IFERROR(IFERROR(LOOKUP(2,1/($B$1:B138=B139),$P$1:P138),0)/IFERROR(LOOKUP(2,1/($B$1:B138=B139),$O$1:O138),0)*$E139,0),"")</x:f>
      </x:c>
      <x:c r="S139" t="str">
        <x:f>IF(COUNTA($A139:$D139)=0,"",IF($B139="","Missing symbol",IF($D139="","Missing action",IF(AND(LOWER($D139)="sell",$E139&gt;IFERROR(LOOKUP(2,1/($B$1:B138=B139),$O$1:O138),0)),"Sold more units than available","OK"))))</x:f>
      </x:c>
    </x:row>
    <x:row r="140">
      <x:c r="M140" t="str">
        <x:f>IF(COUNTA($A140:$D140)=0,"",IF($G140&lt;&gt;"",$G140,IF(AND($E140&lt;&gt;"",$F140&lt;&gt;""),$E140*$F140,""))*IF($J140&lt;&gt;"",$J140,1))</x:f>
      </x:c>
      <x:c r="N140" t="str">
        <x:f>IF(COUNTA($A140:$D140)=0,"",IF($H140&lt;&gt;"",$H140,0)*IF($J140&lt;&gt;"",$J140,1))</x:f>
      </x:c>
      <x:c r="O140" t="str">
        <x:f>IF(COUNTA($A140:$D140)=0,"",SWITCH(LOWER($D140),"buy",IFERROR(LOOKUP(2,1/($B$1:B139=B140),$O$1:O139),0)+$E140,"drip",IFERROR(LOOKUP(2,1/($B$1:B139=B140),$O$1:O139),0)+$E140,"sell",IFERROR(LOOKUP(2,1/($B$1:B139=B140),$O$1:O139),0)-$E140,"return_of_capital",IFERROR(LOOKUP(2,1/($B$1:B139=B140),$O$1:O139),0),"split",$E140,IFERROR(LOOKUP(2,1/($B$1:B139=B140),$O$1:O139),0)))</x:f>
      </x:c>
      <x:c r="P140" t="str">
        <x:f>IF(COUNTA($A140:$D140)=0,"",SWITCH(LOWER($D140),"buy",IFERROR(LOOKUP(2,1/($B$1:B139=B140),$P$1:P139),0)+$M140+$N140,"drip",IFERROR(LOOKUP(2,1/($B$1:B139=B140),$P$1:P139),0)+$M140+$N140,"sell",IFERROR(LOOKUP(2,1/($B$1:B139=B140),$P$1:P139),0)-IFERROR(IFERROR(LOOKUP(2,1/($B$1:B139=B140),$P$1:P139),0)/IFERROR(LOOKUP(2,1/($B$1:B139=B140),$O$1:O139),0)*$E140,0),"return_of_capital",IFERROR(LOOKUP(2,1/($B$1:B139=B140),$P$1:P139),0)-ABS($M140),"split",IFERROR(LOOKUP(2,1/($B$1:B139=B140),$P$1:P139),0),IFERROR(LOOKUP(2,1/($B$1:B139=B140),$P$1:P139),0)))</x:f>
      </x:c>
      <x:c r="Q140" t="str">
        <x:f>IFERROR($P140/$O140,"")</x:f>
      </x:c>
      <x:c r="R140" t="str">
        <x:f>IF(LOWER($D140)="sell",$M140-$N140-IFERROR(IFERROR(LOOKUP(2,1/($B$1:B139=B140),$P$1:P139),0)/IFERROR(LOOKUP(2,1/($B$1:B139=B140),$O$1:O139),0)*$E140,0),"")</x:f>
      </x:c>
      <x:c r="S140" t="str">
        <x:f>IF(COUNTA($A140:$D140)=0,"",IF($B140="","Missing symbol",IF($D140="","Missing action",IF(AND(LOWER($D140)="sell",$E140&gt;IFERROR(LOOKUP(2,1/($B$1:B139=B140),$O$1:O139),0)),"Sold more units than available","OK"))))</x:f>
      </x:c>
    </x:row>
    <x:row r="141">
      <x:c r="M141" t="str">
        <x:f>IF(COUNTA($A141:$D141)=0,"",IF($G141&lt;&gt;"",$G141,IF(AND($E141&lt;&gt;"",$F141&lt;&gt;""),$E141*$F141,""))*IF($J141&lt;&gt;"",$J141,1))</x:f>
      </x:c>
      <x:c r="N141" t="str">
        <x:f>IF(COUNTA($A141:$D141)=0,"",IF($H141&lt;&gt;"",$H141,0)*IF($J141&lt;&gt;"",$J141,1))</x:f>
      </x:c>
      <x:c r="O141" t="str">
        <x:f>IF(COUNTA($A141:$D141)=0,"",SWITCH(LOWER($D141),"buy",IFERROR(LOOKUP(2,1/($B$1:B140=B141),$O$1:O140),0)+$E141,"drip",IFERROR(LOOKUP(2,1/($B$1:B140=B141),$O$1:O140),0)+$E141,"sell",IFERROR(LOOKUP(2,1/($B$1:B140=B141),$O$1:O140),0)-$E141,"return_of_capital",IFERROR(LOOKUP(2,1/($B$1:B140=B141),$O$1:O140),0),"split",$E141,IFERROR(LOOKUP(2,1/($B$1:B140=B141),$O$1:O140),0)))</x:f>
      </x:c>
      <x:c r="P141" t="str">
        <x:f>IF(COUNTA($A141:$D141)=0,"",SWITCH(LOWER($D141),"buy",IFERROR(LOOKUP(2,1/($B$1:B140=B141),$P$1:P140),0)+$M141+$N141,"drip",IFERROR(LOOKUP(2,1/($B$1:B140=B141),$P$1:P140),0)+$M141+$N141,"sell",IFERROR(LOOKUP(2,1/($B$1:B140=B141),$P$1:P140),0)-IFERROR(IFERROR(LOOKUP(2,1/($B$1:B140=B141),$P$1:P140),0)/IFERROR(LOOKUP(2,1/($B$1:B140=B141),$O$1:O140),0)*$E141,0),"return_of_capital",IFERROR(LOOKUP(2,1/($B$1:B140=B141),$P$1:P140),0)-ABS($M141),"split",IFERROR(LOOKUP(2,1/($B$1:B140=B141),$P$1:P140),0),IFERROR(LOOKUP(2,1/($B$1:B140=B141),$P$1:P140),0)))</x:f>
      </x:c>
      <x:c r="Q141" t="str">
        <x:f>IFERROR($P141/$O141,"")</x:f>
      </x:c>
      <x:c r="R141" t="str">
        <x:f>IF(LOWER($D141)="sell",$M141-$N141-IFERROR(IFERROR(LOOKUP(2,1/($B$1:B140=B141),$P$1:P140),0)/IFERROR(LOOKUP(2,1/($B$1:B140=B141),$O$1:O140),0)*$E141,0),"")</x:f>
      </x:c>
      <x:c r="S141" t="str">
        <x:f>IF(COUNTA($A141:$D141)=0,"",IF($B141="","Missing symbol",IF($D141="","Missing action",IF(AND(LOWER($D141)="sell",$E141&gt;IFERROR(LOOKUP(2,1/($B$1:B140=B141),$O$1:O140),0)),"Sold more units than available","OK"))))</x:f>
      </x:c>
    </x:row>
    <x:row r="142">
      <x:c r="M142" t="str">
        <x:f>IF(COUNTA($A142:$D142)=0,"",IF($G142&lt;&gt;"",$G142,IF(AND($E142&lt;&gt;"",$F142&lt;&gt;""),$E142*$F142,""))*IF($J142&lt;&gt;"",$J142,1))</x:f>
      </x:c>
      <x:c r="N142" t="str">
        <x:f>IF(COUNTA($A142:$D142)=0,"",IF($H142&lt;&gt;"",$H142,0)*IF($J142&lt;&gt;"",$J142,1))</x:f>
      </x:c>
      <x:c r="O142" t="str">
        <x:f>IF(COUNTA($A142:$D142)=0,"",SWITCH(LOWER($D142),"buy",IFERROR(LOOKUP(2,1/($B$1:B141=B142),$O$1:O141),0)+$E142,"drip",IFERROR(LOOKUP(2,1/($B$1:B141=B142),$O$1:O141),0)+$E142,"sell",IFERROR(LOOKUP(2,1/($B$1:B141=B142),$O$1:O141),0)-$E142,"return_of_capital",IFERROR(LOOKUP(2,1/($B$1:B141=B142),$O$1:O141),0),"split",$E142,IFERROR(LOOKUP(2,1/($B$1:B141=B142),$O$1:O141),0)))</x:f>
      </x:c>
      <x:c r="P142" t="str">
        <x:f>IF(COUNTA($A142:$D142)=0,"",SWITCH(LOWER($D142),"buy",IFERROR(LOOKUP(2,1/($B$1:B141=B142),$P$1:P141),0)+$M142+$N142,"drip",IFERROR(LOOKUP(2,1/($B$1:B141=B142),$P$1:P141),0)+$M142+$N142,"sell",IFERROR(LOOKUP(2,1/($B$1:B141=B142),$P$1:P141),0)-IFERROR(IFERROR(LOOKUP(2,1/($B$1:B141=B142),$P$1:P141),0)/IFERROR(LOOKUP(2,1/($B$1:B141=B142),$O$1:O141),0)*$E142,0),"return_of_capital",IFERROR(LOOKUP(2,1/($B$1:B141=B142),$P$1:P141),0)-ABS($M142),"split",IFERROR(LOOKUP(2,1/($B$1:B141=B142),$P$1:P141),0),IFERROR(LOOKUP(2,1/($B$1:B141=B142),$P$1:P141),0)))</x:f>
      </x:c>
      <x:c r="Q142" t="str">
        <x:f>IFERROR($P142/$O142,"")</x:f>
      </x:c>
      <x:c r="R142" t="str">
        <x:f>IF(LOWER($D142)="sell",$M142-$N142-IFERROR(IFERROR(LOOKUP(2,1/($B$1:B141=B142),$P$1:P141),0)/IFERROR(LOOKUP(2,1/($B$1:B141=B142),$O$1:O141),0)*$E142,0),"")</x:f>
      </x:c>
      <x:c r="S142" t="str">
        <x:f>IF(COUNTA($A142:$D142)=0,"",IF($B142="","Missing symbol",IF($D142="","Missing action",IF(AND(LOWER($D142)="sell",$E142&gt;IFERROR(LOOKUP(2,1/($B$1:B141=B142),$O$1:O141),0)),"Sold more units than available","OK"))))</x:f>
      </x:c>
    </x:row>
    <x:row r="143">
      <x:c r="M143" t="str">
        <x:f>IF(COUNTA($A143:$D143)=0,"",IF($G143&lt;&gt;"",$G143,IF(AND($E143&lt;&gt;"",$F143&lt;&gt;""),$E143*$F143,""))*IF($J143&lt;&gt;"",$J143,1))</x:f>
      </x:c>
      <x:c r="N143" t="str">
        <x:f>IF(COUNTA($A143:$D143)=0,"",IF($H143&lt;&gt;"",$H143,0)*IF($J143&lt;&gt;"",$J143,1))</x:f>
      </x:c>
      <x:c r="O143" t="str">
        <x:f>IF(COUNTA($A143:$D143)=0,"",SWITCH(LOWER($D143),"buy",IFERROR(LOOKUP(2,1/($B$1:B142=B143),$O$1:O142),0)+$E143,"drip",IFERROR(LOOKUP(2,1/($B$1:B142=B143),$O$1:O142),0)+$E143,"sell",IFERROR(LOOKUP(2,1/($B$1:B142=B143),$O$1:O142),0)-$E143,"return_of_capital",IFERROR(LOOKUP(2,1/($B$1:B142=B143),$O$1:O142),0),"split",$E143,IFERROR(LOOKUP(2,1/($B$1:B142=B143),$O$1:O142),0)))</x:f>
      </x:c>
      <x:c r="P143" t="str">
        <x:f>IF(COUNTA($A143:$D143)=0,"",SWITCH(LOWER($D143),"buy",IFERROR(LOOKUP(2,1/($B$1:B142=B143),$P$1:P142),0)+$M143+$N143,"drip",IFERROR(LOOKUP(2,1/($B$1:B142=B143),$P$1:P142),0)+$M143+$N143,"sell",IFERROR(LOOKUP(2,1/($B$1:B142=B143),$P$1:P142),0)-IFERROR(IFERROR(LOOKUP(2,1/($B$1:B142=B143),$P$1:P142),0)/IFERROR(LOOKUP(2,1/($B$1:B142=B143),$O$1:O142),0)*$E143,0),"return_of_capital",IFERROR(LOOKUP(2,1/($B$1:B142=B143),$P$1:P142),0)-ABS($M143),"split",IFERROR(LOOKUP(2,1/($B$1:B142=B143),$P$1:P142),0),IFERROR(LOOKUP(2,1/($B$1:B142=B143),$P$1:P142),0)))</x:f>
      </x:c>
      <x:c r="Q143" t="str">
        <x:f>IFERROR($P143/$O143,"")</x:f>
      </x:c>
      <x:c r="R143" t="str">
        <x:f>IF(LOWER($D143)="sell",$M143-$N143-IFERROR(IFERROR(LOOKUP(2,1/($B$1:B142=B143),$P$1:P142),0)/IFERROR(LOOKUP(2,1/($B$1:B142=B143),$O$1:O142),0)*$E143,0),"")</x:f>
      </x:c>
      <x:c r="S143" t="str">
        <x:f>IF(COUNTA($A143:$D143)=0,"",IF($B143="","Missing symbol",IF($D143="","Missing action",IF(AND(LOWER($D143)="sell",$E143&gt;IFERROR(LOOKUP(2,1/($B$1:B142=B143),$O$1:O142),0)),"Sold more units than available","OK"))))</x:f>
      </x:c>
    </x:row>
    <x:row r="144">
      <x:c r="M144" t="str">
        <x:f>IF(COUNTA($A144:$D144)=0,"",IF($G144&lt;&gt;"",$G144,IF(AND($E144&lt;&gt;"",$F144&lt;&gt;""),$E144*$F144,""))*IF($J144&lt;&gt;"",$J144,1))</x:f>
      </x:c>
      <x:c r="N144" t="str">
        <x:f>IF(COUNTA($A144:$D144)=0,"",IF($H144&lt;&gt;"",$H144,0)*IF($J144&lt;&gt;"",$J144,1))</x:f>
      </x:c>
      <x:c r="O144" t="str">
        <x:f>IF(COUNTA($A144:$D144)=0,"",SWITCH(LOWER($D144),"buy",IFERROR(LOOKUP(2,1/($B$1:B143=B144),$O$1:O143),0)+$E144,"drip",IFERROR(LOOKUP(2,1/($B$1:B143=B144),$O$1:O143),0)+$E144,"sell",IFERROR(LOOKUP(2,1/($B$1:B143=B144),$O$1:O143),0)-$E144,"return_of_capital",IFERROR(LOOKUP(2,1/($B$1:B143=B144),$O$1:O143),0),"split",$E144,IFERROR(LOOKUP(2,1/($B$1:B143=B144),$O$1:O143),0)))</x:f>
      </x:c>
      <x:c r="P144" t="str">
        <x:f>IF(COUNTA($A144:$D144)=0,"",SWITCH(LOWER($D144),"buy",IFERROR(LOOKUP(2,1/($B$1:B143=B144),$P$1:P143),0)+$M144+$N144,"drip",IFERROR(LOOKUP(2,1/($B$1:B143=B144),$P$1:P143),0)+$M144+$N144,"sell",IFERROR(LOOKUP(2,1/($B$1:B143=B144),$P$1:P143),0)-IFERROR(IFERROR(LOOKUP(2,1/($B$1:B143=B144),$P$1:P143),0)/IFERROR(LOOKUP(2,1/($B$1:B143=B144),$O$1:O143),0)*$E144,0),"return_of_capital",IFERROR(LOOKUP(2,1/($B$1:B143=B144),$P$1:P143),0)-ABS($M144),"split",IFERROR(LOOKUP(2,1/($B$1:B143=B144),$P$1:P143),0),IFERROR(LOOKUP(2,1/($B$1:B143=B144),$P$1:P143),0)))</x:f>
      </x:c>
      <x:c r="Q144" t="str">
        <x:f>IFERROR($P144/$O144,"")</x:f>
      </x:c>
      <x:c r="R144" t="str">
        <x:f>IF(LOWER($D144)="sell",$M144-$N144-IFERROR(IFERROR(LOOKUP(2,1/($B$1:B143=B144),$P$1:P143),0)/IFERROR(LOOKUP(2,1/($B$1:B143=B144),$O$1:O143),0)*$E144,0),"")</x:f>
      </x:c>
      <x:c r="S144" t="str">
        <x:f>IF(COUNTA($A144:$D144)=0,"",IF($B144="","Missing symbol",IF($D144="","Missing action",IF(AND(LOWER($D144)="sell",$E144&gt;IFERROR(LOOKUP(2,1/($B$1:B143=B144),$O$1:O143),0)),"Sold more units than available","OK"))))</x:f>
      </x:c>
    </x:row>
    <x:row r="145">
      <x:c r="M145" t="str">
        <x:f>IF(COUNTA($A145:$D145)=0,"",IF($G145&lt;&gt;"",$G145,IF(AND($E145&lt;&gt;"",$F145&lt;&gt;""),$E145*$F145,""))*IF($J145&lt;&gt;"",$J145,1))</x:f>
      </x:c>
      <x:c r="N145" t="str">
        <x:f>IF(COUNTA($A145:$D145)=0,"",IF($H145&lt;&gt;"",$H145,0)*IF($J145&lt;&gt;"",$J145,1))</x:f>
      </x:c>
      <x:c r="O145" t="str">
        <x:f>IF(COUNTA($A145:$D145)=0,"",SWITCH(LOWER($D145),"buy",IFERROR(LOOKUP(2,1/($B$1:B144=B145),$O$1:O144),0)+$E145,"drip",IFERROR(LOOKUP(2,1/($B$1:B144=B145),$O$1:O144),0)+$E145,"sell",IFERROR(LOOKUP(2,1/($B$1:B144=B145),$O$1:O144),0)-$E145,"return_of_capital",IFERROR(LOOKUP(2,1/($B$1:B144=B145),$O$1:O144),0),"split",$E145,IFERROR(LOOKUP(2,1/($B$1:B144=B145),$O$1:O144),0)))</x:f>
      </x:c>
      <x:c r="P145" t="str">
        <x:f>IF(COUNTA($A145:$D145)=0,"",SWITCH(LOWER($D145),"buy",IFERROR(LOOKUP(2,1/($B$1:B144=B145),$P$1:P144),0)+$M145+$N145,"drip",IFERROR(LOOKUP(2,1/($B$1:B144=B145),$P$1:P144),0)+$M145+$N145,"sell",IFERROR(LOOKUP(2,1/($B$1:B144=B145),$P$1:P144),0)-IFERROR(IFERROR(LOOKUP(2,1/($B$1:B144=B145),$P$1:P144),0)/IFERROR(LOOKUP(2,1/($B$1:B144=B145),$O$1:O144),0)*$E145,0),"return_of_capital",IFERROR(LOOKUP(2,1/($B$1:B144=B145),$P$1:P144),0)-ABS($M145),"split",IFERROR(LOOKUP(2,1/($B$1:B144=B145),$P$1:P144),0),IFERROR(LOOKUP(2,1/($B$1:B144=B145),$P$1:P144),0)))</x:f>
      </x:c>
      <x:c r="Q145" t="str">
        <x:f>IFERROR($P145/$O145,"")</x:f>
      </x:c>
      <x:c r="R145" t="str">
        <x:f>IF(LOWER($D145)="sell",$M145-$N145-IFERROR(IFERROR(LOOKUP(2,1/($B$1:B144=B145),$P$1:P144),0)/IFERROR(LOOKUP(2,1/($B$1:B144=B145),$O$1:O144),0)*$E145,0),"")</x:f>
      </x:c>
      <x:c r="S145" t="str">
        <x:f>IF(COUNTA($A145:$D145)=0,"",IF($B145="","Missing symbol",IF($D145="","Missing action",IF(AND(LOWER($D145)="sell",$E145&gt;IFERROR(LOOKUP(2,1/($B$1:B144=B145),$O$1:O144),0)),"Sold more units than available","OK"))))</x:f>
      </x:c>
    </x:row>
    <x:row r="146">
      <x:c r="M146" t="str">
        <x:f>IF(COUNTA($A146:$D146)=0,"",IF($G146&lt;&gt;"",$G146,IF(AND($E146&lt;&gt;"",$F146&lt;&gt;""),$E146*$F146,""))*IF($J146&lt;&gt;"",$J146,1))</x:f>
      </x:c>
      <x:c r="N146" t="str">
        <x:f>IF(COUNTA($A146:$D146)=0,"",IF($H146&lt;&gt;"",$H146,0)*IF($J146&lt;&gt;"",$J146,1))</x:f>
      </x:c>
      <x:c r="O146" t="str">
        <x:f>IF(COUNTA($A146:$D146)=0,"",SWITCH(LOWER($D146),"buy",IFERROR(LOOKUP(2,1/($B$1:B145=B146),$O$1:O145),0)+$E146,"drip",IFERROR(LOOKUP(2,1/($B$1:B145=B146),$O$1:O145),0)+$E146,"sell",IFERROR(LOOKUP(2,1/($B$1:B145=B146),$O$1:O145),0)-$E146,"return_of_capital",IFERROR(LOOKUP(2,1/($B$1:B145=B146),$O$1:O145),0),"split",$E146,IFERROR(LOOKUP(2,1/($B$1:B145=B146),$O$1:O145),0)))</x:f>
      </x:c>
      <x:c r="P146" t="str">
        <x:f>IF(COUNTA($A146:$D146)=0,"",SWITCH(LOWER($D146),"buy",IFERROR(LOOKUP(2,1/($B$1:B145=B146),$P$1:P145),0)+$M146+$N146,"drip",IFERROR(LOOKUP(2,1/($B$1:B145=B146),$P$1:P145),0)+$M146+$N146,"sell",IFERROR(LOOKUP(2,1/($B$1:B145=B146),$P$1:P145),0)-IFERROR(IFERROR(LOOKUP(2,1/($B$1:B145=B146),$P$1:P145),0)/IFERROR(LOOKUP(2,1/($B$1:B145=B146),$O$1:O145),0)*$E146,0),"return_of_capital",IFERROR(LOOKUP(2,1/($B$1:B145=B146),$P$1:P145),0)-ABS($M146),"split",IFERROR(LOOKUP(2,1/($B$1:B145=B146),$P$1:P145),0),IFERROR(LOOKUP(2,1/($B$1:B145=B146),$P$1:P145),0)))</x:f>
      </x:c>
      <x:c r="Q146" t="str">
        <x:f>IFERROR($P146/$O146,"")</x:f>
      </x:c>
      <x:c r="R146" t="str">
        <x:f>IF(LOWER($D146)="sell",$M146-$N146-IFERROR(IFERROR(LOOKUP(2,1/($B$1:B145=B146),$P$1:P145),0)/IFERROR(LOOKUP(2,1/($B$1:B145=B146),$O$1:O145),0)*$E146,0),"")</x:f>
      </x:c>
      <x:c r="S146" t="str">
        <x:f>IF(COUNTA($A146:$D146)=0,"",IF($B146="","Missing symbol",IF($D146="","Missing action",IF(AND(LOWER($D146)="sell",$E146&gt;IFERROR(LOOKUP(2,1/($B$1:B145=B146),$O$1:O145),0)),"Sold more units than available","OK"))))</x:f>
      </x:c>
    </x:row>
    <x:row r="147">
      <x:c r="M147" t="str">
        <x:f>IF(COUNTA($A147:$D147)=0,"",IF($G147&lt;&gt;"",$G147,IF(AND($E147&lt;&gt;"",$F147&lt;&gt;""),$E147*$F147,""))*IF($J147&lt;&gt;"",$J147,1))</x:f>
      </x:c>
      <x:c r="N147" t="str">
        <x:f>IF(COUNTA($A147:$D147)=0,"",IF($H147&lt;&gt;"",$H147,0)*IF($J147&lt;&gt;"",$J147,1))</x:f>
      </x:c>
      <x:c r="O147" t="str">
        <x:f>IF(COUNTA($A147:$D147)=0,"",SWITCH(LOWER($D147),"buy",IFERROR(LOOKUP(2,1/($B$1:B146=B147),$O$1:O146),0)+$E147,"drip",IFERROR(LOOKUP(2,1/($B$1:B146=B147),$O$1:O146),0)+$E147,"sell",IFERROR(LOOKUP(2,1/($B$1:B146=B147),$O$1:O146),0)-$E147,"return_of_capital",IFERROR(LOOKUP(2,1/($B$1:B146=B147),$O$1:O146),0),"split",$E147,IFERROR(LOOKUP(2,1/($B$1:B146=B147),$O$1:O146),0)))</x:f>
      </x:c>
      <x:c r="P147" t="str">
        <x:f>IF(COUNTA($A147:$D147)=0,"",SWITCH(LOWER($D147),"buy",IFERROR(LOOKUP(2,1/($B$1:B146=B147),$P$1:P146),0)+$M147+$N147,"drip",IFERROR(LOOKUP(2,1/($B$1:B146=B147),$P$1:P146),0)+$M147+$N147,"sell",IFERROR(LOOKUP(2,1/($B$1:B146=B147),$P$1:P146),0)-IFERROR(IFERROR(LOOKUP(2,1/($B$1:B146=B147),$P$1:P146),0)/IFERROR(LOOKUP(2,1/($B$1:B146=B147),$O$1:O146),0)*$E147,0),"return_of_capital",IFERROR(LOOKUP(2,1/($B$1:B146=B147),$P$1:P146),0)-ABS($M147),"split",IFERROR(LOOKUP(2,1/($B$1:B146=B147),$P$1:P146),0),IFERROR(LOOKUP(2,1/($B$1:B146=B147),$P$1:P146),0)))</x:f>
      </x:c>
      <x:c r="Q147" t="str">
        <x:f>IFERROR($P147/$O147,"")</x:f>
      </x:c>
      <x:c r="R147" t="str">
        <x:f>IF(LOWER($D147)="sell",$M147-$N147-IFERROR(IFERROR(LOOKUP(2,1/($B$1:B146=B147),$P$1:P146),0)/IFERROR(LOOKUP(2,1/($B$1:B146=B147),$O$1:O146),0)*$E147,0),"")</x:f>
      </x:c>
      <x:c r="S147" t="str">
        <x:f>IF(COUNTA($A147:$D147)=0,"",IF($B147="","Missing symbol",IF($D147="","Missing action",IF(AND(LOWER($D147)="sell",$E147&gt;IFERROR(LOOKUP(2,1/($B$1:B146=B147),$O$1:O146),0)),"Sold more units than available","OK"))))</x:f>
      </x:c>
    </x:row>
    <x:row r="148">
      <x:c r="M148" t="str">
        <x:f>IF(COUNTA($A148:$D148)=0,"",IF($G148&lt;&gt;"",$G148,IF(AND($E148&lt;&gt;"",$F148&lt;&gt;""),$E148*$F148,""))*IF($J148&lt;&gt;"",$J148,1))</x:f>
      </x:c>
      <x:c r="N148" t="str">
        <x:f>IF(COUNTA($A148:$D148)=0,"",IF($H148&lt;&gt;"",$H148,0)*IF($J148&lt;&gt;"",$J148,1))</x:f>
      </x:c>
      <x:c r="O148" t="str">
        <x:f>IF(COUNTA($A148:$D148)=0,"",SWITCH(LOWER($D148),"buy",IFERROR(LOOKUP(2,1/($B$1:B147=B148),$O$1:O147),0)+$E148,"drip",IFERROR(LOOKUP(2,1/($B$1:B147=B148),$O$1:O147),0)+$E148,"sell",IFERROR(LOOKUP(2,1/($B$1:B147=B148),$O$1:O147),0)-$E148,"return_of_capital",IFERROR(LOOKUP(2,1/($B$1:B147=B148),$O$1:O147),0),"split",$E148,IFERROR(LOOKUP(2,1/($B$1:B147=B148),$O$1:O147),0)))</x:f>
      </x:c>
      <x:c r="P148" t="str">
        <x:f>IF(COUNTA($A148:$D148)=0,"",SWITCH(LOWER($D148),"buy",IFERROR(LOOKUP(2,1/($B$1:B147=B148),$P$1:P147),0)+$M148+$N148,"drip",IFERROR(LOOKUP(2,1/($B$1:B147=B148),$P$1:P147),0)+$M148+$N148,"sell",IFERROR(LOOKUP(2,1/($B$1:B147=B148),$P$1:P147),0)-IFERROR(IFERROR(LOOKUP(2,1/($B$1:B147=B148),$P$1:P147),0)/IFERROR(LOOKUP(2,1/($B$1:B147=B148),$O$1:O147),0)*$E148,0),"return_of_capital",IFERROR(LOOKUP(2,1/($B$1:B147=B148),$P$1:P147),0)-ABS($M148),"split",IFERROR(LOOKUP(2,1/($B$1:B147=B148),$P$1:P147),0),IFERROR(LOOKUP(2,1/($B$1:B147=B148),$P$1:P147),0)))</x:f>
      </x:c>
      <x:c r="Q148" t="str">
        <x:f>IFERROR($P148/$O148,"")</x:f>
      </x:c>
      <x:c r="R148" t="str">
        <x:f>IF(LOWER($D148)="sell",$M148-$N148-IFERROR(IFERROR(LOOKUP(2,1/($B$1:B147=B148),$P$1:P147),0)/IFERROR(LOOKUP(2,1/($B$1:B147=B148),$O$1:O147),0)*$E148,0),"")</x:f>
      </x:c>
      <x:c r="S148" t="str">
        <x:f>IF(COUNTA($A148:$D148)=0,"",IF($B148="","Missing symbol",IF($D148="","Missing action",IF(AND(LOWER($D148)="sell",$E148&gt;IFERROR(LOOKUP(2,1/($B$1:B147=B148),$O$1:O147),0)),"Sold more units than available","OK"))))</x:f>
      </x:c>
    </x:row>
    <x:row r="149">
      <x:c r="M149" t="str">
        <x:f>IF(COUNTA($A149:$D149)=0,"",IF($G149&lt;&gt;"",$G149,IF(AND($E149&lt;&gt;"",$F149&lt;&gt;""),$E149*$F149,""))*IF($J149&lt;&gt;"",$J149,1))</x:f>
      </x:c>
      <x:c r="N149" t="str">
        <x:f>IF(COUNTA($A149:$D149)=0,"",IF($H149&lt;&gt;"",$H149,0)*IF($J149&lt;&gt;"",$J149,1))</x:f>
      </x:c>
      <x:c r="O149" t="str">
        <x:f>IF(COUNTA($A149:$D149)=0,"",SWITCH(LOWER($D149),"buy",IFERROR(LOOKUP(2,1/($B$1:B148=B149),$O$1:O148),0)+$E149,"drip",IFERROR(LOOKUP(2,1/($B$1:B148=B149),$O$1:O148),0)+$E149,"sell",IFERROR(LOOKUP(2,1/($B$1:B148=B149),$O$1:O148),0)-$E149,"return_of_capital",IFERROR(LOOKUP(2,1/($B$1:B148=B149),$O$1:O148),0),"split",$E149,IFERROR(LOOKUP(2,1/($B$1:B148=B149),$O$1:O148),0)))</x:f>
      </x:c>
      <x:c r="P149" t="str">
        <x:f>IF(COUNTA($A149:$D149)=0,"",SWITCH(LOWER($D149),"buy",IFERROR(LOOKUP(2,1/($B$1:B148=B149),$P$1:P148),0)+$M149+$N149,"drip",IFERROR(LOOKUP(2,1/($B$1:B148=B149),$P$1:P148),0)+$M149+$N149,"sell",IFERROR(LOOKUP(2,1/($B$1:B148=B149),$P$1:P148),0)-IFERROR(IFERROR(LOOKUP(2,1/($B$1:B148=B149),$P$1:P148),0)/IFERROR(LOOKUP(2,1/($B$1:B148=B149),$O$1:O148),0)*$E149,0),"return_of_capital",IFERROR(LOOKUP(2,1/($B$1:B148=B149),$P$1:P148),0)-ABS($M149),"split",IFERROR(LOOKUP(2,1/($B$1:B148=B149),$P$1:P148),0),IFERROR(LOOKUP(2,1/($B$1:B148=B149),$P$1:P148),0)))</x:f>
      </x:c>
      <x:c r="Q149" t="str">
        <x:f>IFERROR($P149/$O149,"")</x:f>
      </x:c>
      <x:c r="R149" t="str">
        <x:f>IF(LOWER($D149)="sell",$M149-$N149-IFERROR(IFERROR(LOOKUP(2,1/($B$1:B148=B149),$P$1:P148),0)/IFERROR(LOOKUP(2,1/($B$1:B148=B149),$O$1:O148),0)*$E149,0),"")</x:f>
      </x:c>
      <x:c r="S149" t="str">
        <x:f>IF(COUNTA($A149:$D149)=0,"",IF($B149="","Missing symbol",IF($D149="","Missing action",IF(AND(LOWER($D149)="sell",$E149&gt;IFERROR(LOOKUP(2,1/($B$1:B148=B149),$O$1:O148),0)),"Sold more units than available","OK"))))</x:f>
      </x:c>
    </x:row>
    <x:row r="150">
      <x:c r="M150" t="str">
        <x:f>IF(COUNTA($A150:$D150)=0,"",IF($G150&lt;&gt;"",$G150,IF(AND($E150&lt;&gt;"",$F150&lt;&gt;""),$E150*$F150,""))*IF($J150&lt;&gt;"",$J150,1))</x:f>
      </x:c>
      <x:c r="N150" t="str">
        <x:f>IF(COUNTA($A150:$D150)=0,"",IF($H150&lt;&gt;"",$H150,0)*IF($J150&lt;&gt;"",$J150,1))</x:f>
      </x:c>
      <x:c r="O150" t="str">
        <x:f>IF(COUNTA($A150:$D150)=0,"",SWITCH(LOWER($D150),"buy",IFERROR(LOOKUP(2,1/($B$1:B149=B150),$O$1:O149),0)+$E150,"drip",IFERROR(LOOKUP(2,1/($B$1:B149=B150),$O$1:O149),0)+$E150,"sell",IFERROR(LOOKUP(2,1/($B$1:B149=B150),$O$1:O149),0)-$E150,"return_of_capital",IFERROR(LOOKUP(2,1/($B$1:B149=B150),$O$1:O149),0),"split",$E150,IFERROR(LOOKUP(2,1/($B$1:B149=B150),$O$1:O149),0)))</x:f>
      </x:c>
      <x:c r="P150" t="str">
        <x:f>IF(COUNTA($A150:$D150)=0,"",SWITCH(LOWER($D150),"buy",IFERROR(LOOKUP(2,1/($B$1:B149=B150),$P$1:P149),0)+$M150+$N150,"drip",IFERROR(LOOKUP(2,1/($B$1:B149=B150),$P$1:P149),0)+$M150+$N150,"sell",IFERROR(LOOKUP(2,1/($B$1:B149=B150),$P$1:P149),0)-IFERROR(IFERROR(LOOKUP(2,1/($B$1:B149=B150),$P$1:P149),0)/IFERROR(LOOKUP(2,1/($B$1:B149=B150),$O$1:O149),0)*$E150,0),"return_of_capital",IFERROR(LOOKUP(2,1/($B$1:B149=B150),$P$1:P149),0)-ABS($M150),"split",IFERROR(LOOKUP(2,1/($B$1:B149=B150),$P$1:P149),0),IFERROR(LOOKUP(2,1/($B$1:B149=B150),$P$1:P149),0)))</x:f>
      </x:c>
      <x:c r="Q150" t="str">
        <x:f>IFERROR($P150/$O150,"")</x:f>
      </x:c>
      <x:c r="R150" t="str">
        <x:f>IF(LOWER($D150)="sell",$M150-$N150-IFERROR(IFERROR(LOOKUP(2,1/($B$1:B149=B150),$P$1:P149),0)/IFERROR(LOOKUP(2,1/($B$1:B149=B150),$O$1:O149),0)*$E150,0),"")</x:f>
      </x:c>
      <x:c r="S150" t="str">
        <x:f>IF(COUNTA($A150:$D150)=0,"",IF($B150="","Missing symbol",IF($D150="","Missing action",IF(AND(LOWER($D150)="sell",$E150&gt;IFERROR(LOOKUP(2,1/($B$1:B149=B150),$O$1:O149),0)),"Sold more units than available","OK"))))</x:f>
      </x:c>
    </x:row>
    <x:row r="151">
      <x:c r="M151" t="str">
        <x:f>IF(COUNTA($A151:$D151)=0,"",IF($G151&lt;&gt;"",$G151,IF(AND($E151&lt;&gt;"",$F151&lt;&gt;""),$E151*$F151,""))*IF($J151&lt;&gt;"",$J151,1))</x:f>
      </x:c>
      <x:c r="N151" t="str">
        <x:f>IF(COUNTA($A151:$D151)=0,"",IF($H151&lt;&gt;"",$H151,0)*IF($J151&lt;&gt;"",$J151,1))</x:f>
      </x:c>
      <x:c r="O151" t="str">
        <x:f>IF(COUNTA($A151:$D151)=0,"",SWITCH(LOWER($D151),"buy",IFERROR(LOOKUP(2,1/($B$1:B150=B151),$O$1:O150),0)+$E151,"drip",IFERROR(LOOKUP(2,1/($B$1:B150=B151),$O$1:O150),0)+$E151,"sell",IFERROR(LOOKUP(2,1/($B$1:B150=B151),$O$1:O150),0)-$E151,"return_of_capital",IFERROR(LOOKUP(2,1/($B$1:B150=B151),$O$1:O150),0),"split",$E151,IFERROR(LOOKUP(2,1/($B$1:B150=B151),$O$1:O150),0)))</x:f>
      </x:c>
      <x:c r="P151" t="str">
        <x:f>IF(COUNTA($A151:$D151)=0,"",SWITCH(LOWER($D151),"buy",IFERROR(LOOKUP(2,1/($B$1:B150=B151),$P$1:P150),0)+$M151+$N151,"drip",IFERROR(LOOKUP(2,1/($B$1:B150=B151),$P$1:P150),0)+$M151+$N151,"sell",IFERROR(LOOKUP(2,1/($B$1:B150=B151),$P$1:P150),0)-IFERROR(IFERROR(LOOKUP(2,1/($B$1:B150=B151),$P$1:P150),0)/IFERROR(LOOKUP(2,1/($B$1:B150=B151),$O$1:O150),0)*$E151,0),"return_of_capital",IFERROR(LOOKUP(2,1/($B$1:B150=B151),$P$1:P150),0)-ABS($M151),"split",IFERROR(LOOKUP(2,1/($B$1:B150=B151),$P$1:P150),0),IFERROR(LOOKUP(2,1/($B$1:B150=B151),$P$1:P150),0)))</x:f>
      </x:c>
      <x:c r="Q151" t="str">
        <x:f>IFERROR($P151/$O151,"")</x:f>
      </x:c>
      <x:c r="R151" t="str">
        <x:f>IF(LOWER($D151)="sell",$M151-$N151-IFERROR(IFERROR(LOOKUP(2,1/($B$1:B150=B151),$P$1:P150),0)/IFERROR(LOOKUP(2,1/($B$1:B150=B151),$O$1:O150),0)*$E151,0),"")</x:f>
      </x:c>
      <x:c r="S151" t="str">
        <x:f>IF(COUNTA($A151:$D151)=0,"",IF($B151="","Missing symbol",IF($D151="","Missing action",IF(AND(LOWER($D151)="sell",$E151&gt;IFERROR(LOOKUP(2,1/($B$1:B150=B151),$O$1:O150),0)),"Sold more units than available","OK"))))</x:f>
      </x:c>
    </x:row>
    <x:row r="152">
      <x:c r="M152" t="str">
        <x:f>IF(COUNTA($A152:$D152)=0,"",IF($G152&lt;&gt;"",$G152,IF(AND($E152&lt;&gt;"",$F152&lt;&gt;""),$E152*$F152,""))*IF($J152&lt;&gt;"",$J152,1))</x:f>
      </x:c>
      <x:c r="N152" t="str">
        <x:f>IF(COUNTA($A152:$D152)=0,"",IF($H152&lt;&gt;"",$H152,0)*IF($J152&lt;&gt;"",$J152,1))</x:f>
      </x:c>
      <x:c r="O152" t="str">
        <x:f>IF(COUNTA($A152:$D152)=0,"",SWITCH(LOWER($D152),"buy",IFERROR(LOOKUP(2,1/($B$1:B151=B152),$O$1:O151),0)+$E152,"drip",IFERROR(LOOKUP(2,1/($B$1:B151=B152),$O$1:O151),0)+$E152,"sell",IFERROR(LOOKUP(2,1/($B$1:B151=B152),$O$1:O151),0)-$E152,"return_of_capital",IFERROR(LOOKUP(2,1/($B$1:B151=B152),$O$1:O151),0),"split",$E152,IFERROR(LOOKUP(2,1/($B$1:B151=B152),$O$1:O151),0)))</x:f>
      </x:c>
      <x:c r="P152" t="str">
        <x:f>IF(COUNTA($A152:$D152)=0,"",SWITCH(LOWER($D152),"buy",IFERROR(LOOKUP(2,1/($B$1:B151=B152),$P$1:P151),0)+$M152+$N152,"drip",IFERROR(LOOKUP(2,1/($B$1:B151=B152),$P$1:P151),0)+$M152+$N152,"sell",IFERROR(LOOKUP(2,1/($B$1:B151=B152),$P$1:P151),0)-IFERROR(IFERROR(LOOKUP(2,1/($B$1:B151=B152),$P$1:P151),0)/IFERROR(LOOKUP(2,1/($B$1:B151=B152),$O$1:O151),0)*$E152,0),"return_of_capital",IFERROR(LOOKUP(2,1/($B$1:B151=B152),$P$1:P151),0)-ABS($M152),"split",IFERROR(LOOKUP(2,1/($B$1:B151=B152),$P$1:P151),0),IFERROR(LOOKUP(2,1/($B$1:B151=B152),$P$1:P151),0)))</x:f>
      </x:c>
      <x:c r="Q152" t="str">
        <x:f>IFERROR($P152/$O152,"")</x:f>
      </x:c>
      <x:c r="R152" t="str">
        <x:f>IF(LOWER($D152)="sell",$M152-$N152-IFERROR(IFERROR(LOOKUP(2,1/($B$1:B151=B152),$P$1:P151),0)/IFERROR(LOOKUP(2,1/($B$1:B151=B152),$O$1:O151),0)*$E152,0),"")</x:f>
      </x:c>
      <x:c r="S152" t="str">
        <x:f>IF(COUNTA($A152:$D152)=0,"",IF($B152="","Missing symbol",IF($D152="","Missing action",IF(AND(LOWER($D152)="sell",$E152&gt;IFERROR(LOOKUP(2,1/($B$1:B151=B152),$O$1:O151),0)),"Sold more units than available","OK"))))</x:f>
      </x:c>
    </x:row>
    <x:row r="153">
      <x:c r="M153" t="str">
        <x:f>IF(COUNTA($A153:$D153)=0,"",IF($G153&lt;&gt;"",$G153,IF(AND($E153&lt;&gt;"",$F153&lt;&gt;""),$E153*$F153,""))*IF($J153&lt;&gt;"",$J153,1))</x:f>
      </x:c>
      <x:c r="N153" t="str">
        <x:f>IF(COUNTA($A153:$D153)=0,"",IF($H153&lt;&gt;"",$H153,0)*IF($J153&lt;&gt;"",$J153,1))</x:f>
      </x:c>
      <x:c r="O153" t="str">
        <x:f>IF(COUNTA($A153:$D153)=0,"",SWITCH(LOWER($D153),"buy",IFERROR(LOOKUP(2,1/($B$1:B152=B153),$O$1:O152),0)+$E153,"drip",IFERROR(LOOKUP(2,1/($B$1:B152=B153),$O$1:O152),0)+$E153,"sell",IFERROR(LOOKUP(2,1/($B$1:B152=B153),$O$1:O152),0)-$E153,"return_of_capital",IFERROR(LOOKUP(2,1/($B$1:B152=B153),$O$1:O152),0),"split",$E153,IFERROR(LOOKUP(2,1/($B$1:B152=B153),$O$1:O152),0)))</x:f>
      </x:c>
      <x:c r="P153" t="str">
        <x:f>IF(COUNTA($A153:$D153)=0,"",SWITCH(LOWER($D153),"buy",IFERROR(LOOKUP(2,1/($B$1:B152=B153),$P$1:P152),0)+$M153+$N153,"drip",IFERROR(LOOKUP(2,1/($B$1:B152=B153),$P$1:P152),0)+$M153+$N153,"sell",IFERROR(LOOKUP(2,1/($B$1:B152=B153),$P$1:P152),0)-IFERROR(IFERROR(LOOKUP(2,1/($B$1:B152=B153),$P$1:P152),0)/IFERROR(LOOKUP(2,1/($B$1:B152=B153),$O$1:O152),0)*$E153,0),"return_of_capital",IFERROR(LOOKUP(2,1/($B$1:B152=B153),$P$1:P152),0)-ABS($M153),"split",IFERROR(LOOKUP(2,1/($B$1:B152=B153),$P$1:P152),0),IFERROR(LOOKUP(2,1/($B$1:B152=B153),$P$1:P152),0)))</x:f>
      </x:c>
      <x:c r="Q153" t="str">
        <x:f>IFERROR($P153/$O153,"")</x:f>
      </x:c>
      <x:c r="R153" t="str">
        <x:f>IF(LOWER($D153)="sell",$M153-$N153-IFERROR(IFERROR(LOOKUP(2,1/($B$1:B152=B153),$P$1:P152),0)/IFERROR(LOOKUP(2,1/($B$1:B152=B153),$O$1:O152),0)*$E153,0),"")</x:f>
      </x:c>
      <x:c r="S153" t="str">
        <x:f>IF(COUNTA($A153:$D153)=0,"",IF($B153="","Missing symbol",IF($D153="","Missing action",IF(AND(LOWER($D153)="sell",$E153&gt;IFERROR(LOOKUP(2,1/($B$1:B152=B153),$O$1:O152),0)),"Sold more units than available","OK"))))</x:f>
      </x:c>
    </x:row>
    <x:row r="154">
      <x:c r="M154" t="str">
        <x:f>IF(COUNTA($A154:$D154)=0,"",IF($G154&lt;&gt;"",$G154,IF(AND($E154&lt;&gt;"",$F154&lt;&gt;""),$E154*$F154,""))*IF($J154&lt;&gt;"",$J154,1))</x:f>
      </x:c>
      <x:c r="N154" t="str">
        <x:f>IF(COUNTA($A154:$D154)=0,"",IF($H154&lt;&gt;"",$H154,0)*IF($J154&lt;&gt;"",$J154,1))</x:f>
      </x:c>
      <x:c r="O154" t="str">
        <x:f>IF(COUNTA($A154:$D154)=0,"",SWITCH(LOWER($D154),"buy",IFERROR(LOOKUP(2,1/($B$1:B153=B154),$O$1:O153),0)+$E154,"drip",IFERROR(LOOKUP(2,1/($B$1:B153=B154),$O$1:O153),0)+$E154,"sell",IFERROR(LOOKUP(2,1/($B$1:B153=B154),$O$1:O153),0)-$E154,"return_of_capital",IFERROR(LOOKUP(2,1/($B$1:B153=B154),$O$1:O153),0),"split",$E154,IFERROR(LOOKUP(2,1/($B$1:B153=B154),$O$1:O153),0)))</x:f>
      </x:c>
      <x:c r="P154" t="str">
        <x:f>IF(COUNTA($A154:$D154)=0,"",SWITCH(LOWER($D154),"buy",IFERROR(LOOKUP(2,1/($B$1:B153=B154),$P$1:P153),0)+$M154+$N154,"drip",IFERROR(LOOKUP(2,1/($B$1:B153=B154),$P$1:P153),0)+$M154+$N154,"sell",IFERROR(LOOKUP(2,1/($B$1:B153=B154),$P$1:P153),0)-IFERROR(IFERROR(LOOKUP(2,1/($B$1:B153=B154),$P$1:P153),0)/IFERROR(LOOKUP(2,1/($B$1:B153=B154),$O$1:O153),0)*$E154,0),"return_of_capital",IFERROR(LOOKUP(2,1/($B$1:B153=B154),$P$1:P153),0)-ABS($M154),"split",IFERROR(LOOKUP(2,1/($B$1:B153=B154),$P$1:P153),0),IFERROR(LOOKUP(2,1/($B$1:B153=B154),$P$1:P153),0)))</x:f>
      </x:c>
      <x:c r="Q154" t="str">
        <x:f>IFERROR($P154/$O154,"")</x:f>
      </x:c>
      <x:c r="R154" t="str">
        <x:f>IF(LOWER($D154)="sell",$M154-$N154-IFERROR(IFERROR(LOOKUP(2,1/($B$1:B153=B154),$P$1:P153),0)/IFERROR(LOOKUP(2,1/($B$1:B153=B154),$O$1:O153),0)*$E154,0),"")</x:f>
      </x:c>
      <x:c r="S154" t="str">
        <x:f>IF(COUNTA($A154:$D154)=0,"",IF($B154="","Missing symbol",IF($D154="","Missing action",IF(AND(LOWER($D154)="sell",$E154&gt;IFERROR(LOOKUP(2,1/($B$1:B153=B154),$O$1:O153),0)),"Sold more units than available","OK"))))</x:f>
      </x:c>
    </x:row>
    <x:row r="155">
      <x:c r="M155" t="str">
        <x:f>IF(COUNTA($A155:$D155)=0,"",IF($G155&lt;&gt;"",$G155,IF(AND($E155&lt;&gt;"",$F155&lt;&gt;""),$E155*$F155,""))*IF($J155&lt;&gt;"",$J155,1))</x:f>
      </x:c>
      <x:c r="N155" t="str">
        <x:f>IF(COUNTA($A155:$D155)=0,"",IF($H155&lt;&gt;"",$H155,0)*IF($J155&lt;&gt;"",$J155,1))</x:f>
      </x:c>
      <x:c r="O155" t="str">
        <x:f>IF(COUNTA($A155:$D155)=0,"",SWITCH(LOWER($D155),"buy",IFERROR(LOOKUP(2,1/($B$1:B154=B155),$O$1:O154),0)+$E155,"drip",IFERROR(LOOKUP(2,1/($B$1:B154=B155),$O$1:O154),0)+$E155,"sell",IFERROR(LOOKUP(2,1/($B$1:B154=B155),$O$1:O154),0)-$E155,"return_of_capital",IFERROR(LOOKUP(2,1/($B$1:B154=B155),$O$1:O154),0),"split",$E155,IFERROR(LOOKUP(2,1/($B$1:B154=B155),$O$1:O154),0)))</x:f>
      </x:c>
      <x:c r="P155" t="str">
        <x:f>IF(COUNTA($A155:$D155)=0,"",SWITCH(LOWER($D155),"buy",IFERROR(LOOKUP(2,1/($B$1:B154=B155),$P$1:P154),0)+$M155+$N155,"drip",IFERROR(LOOKUP(2,1/($B$1:B154=B155),$P$1:P154),0)+$M155+$N155,"sell",IFERROR(LOOKUP(2,1/($B$1:B154=B155),$P$1:P154),0)-IFERROR(IFERROR(LOOKUP(2,1/($B$1:B154=B155),$P$1:P154),0)/IFERROR(LOOKUP(2,1/($B$1:B154=B155),$O$1:O154),0)*$E155,0),"return_of_capital",IFERROR(LOOKUP(2,1/($B$1:B154=B155),$P$1:P154),0)-ABS($M155),"split",IFERROR(LOOKUP(2,1/($B$1:B154=B155),$P$1:P154),0),IFERROR(LOOKUP(2,1/($B$1:B154=B155),$P$1:P154),0)))</x:f>
      </x:c>
      <x:c r="Q155" t="str">
        <x:f>IFERROR($P155/$O155,"")</x:f>
      </x:c>
      <x:c r="R155" t="str">
        <x:f>IF(LOWER($D155)="sell",$M155-$N155-IFERROR(IFERROR(LOOKUP(2,1/($B$1:B154=B155),$P$1:P154),0)/IFERROR(LOOKUP(2,1/($B$1:B154=B155),$O$1:O154),0)*$E155,0),"")</x:f>
      </x:c>
      <x:c r="S155" t="str">
        <x:f>IF(COUNTA($A155:$D155)=0,"",IF($B155="","Missing symbol",IF($D155="","Missing action",IF(AND(LOWER($D155)="sell",$E155&gt;IFERROR(LOOKUP(2,1/($B$1:B154=B155),$O$1:O154),0)),"Sold more units than available","OK"))))</x:f>
      </x:c>
    </x:row>
    <x:row r="156">
      <x:c r="M156" t="str">
        <x:f>IF(COUNTA($A156:$D156)=0,"",IF($G156&lt;&gt;"",$G156,IF(AND($E156&lt;&gt;"",$F156&lt;&gt;""),$E156*$F156,""))*IF($J156&lt;&gt;"",$J156,1))</x:f>
      </x:c>
      <x:c r="N156" t="str">
        <x:f>IF(COUNTA($A156:$D156)=0,"",IF($H156&lt;&gt;"",$H156,0)*IF($J156&lt;&gt;"",$J156,1))</x:f>
      </x:c>
      <x:c r="O156" t="str">
        <x:f>IF(COUNTA($A156:$D156)=0,"",SWITCH(LOWER($D156),"buy",IFERROR(LOOKUP(2,1/($B$1:B155=B156),$O$1:O155),0)+$E156,"drip",IFERROR(LOOKUP(2,1/($B$1:B155=B156),$O$1:O155),0)+$E156,"sell",IFERROR(LOOKUP(2,1/($B$1:B155=B156),$O$1:O155),0)-$E156,"return_of_capital",IFERROR(LOOKUP(2,1/($B$1:B155=B156),$O$1:O155),0),"split",$E156,IFERROR(LOOKUP(2,1/($B$1:B155=B156),$O$1:O155),0)))</x:f>
      </x:c>
      <x:c r="P156" t="str">
        <x:f>IF(COUNTA($A156:$D156)=0,"",SWITCH(LOWER($D156),"buy",IFERROR(LOOKUP(2,1/($B$1:B155=B156),$P$1:P155),0)+$M156+$N156,"drip",IFERROR(LOOKUP(2,1/($B$1:B155=B156),$P$1:P155),0)+$M156+$N156,"sell",IFERROR(LOOKUP(2,1/($B$1:B155=B156),$P$1:P155),0)-IFERROR(IFERROR(LOOKUP(2,1/($B$1:B155=B156),$P$1:P155),0)/IFERROR(LOOKUP(2,1/($B$1:B155=B156),$O$1:O155),0)*$E156,0),"return_of_capital",IFERROR(LOOKUP(2,1/($B$1:B155=B156),$P$1:P155),0)-ABS($M156),"split",IFERROR(LOOKUP(2,1/($B$1:B155=B156),$P$1:P155),0),IFERROR(LOOKUP(2,1/($B$1:B155=B156),$P$1:P155),0)))</x:f>
      </x:c>
      <x:c r="Q156" t="str">
        <x:f>IFERROR($P156/$O156,"")</x:f>
      </x:c>
      <x:c r="R156" t="str">
        <x:f>IF(LOWER($D156)="sell",$M156-$N156-IFERROR(IFERROR(LOOKUP(2,1/($B$1:B155=B156),$P$1:P155),0)/IFERROR(LOOKUP(2,1/($B$1:B155=B156),$O$1:O155),0)*$E156,0),"")</x:f>
      </x:c>
      <x:c r="S156" t="str">
        <x:f>IF(COUNTA($A156:$D156)=0,"",IF($B156="","Missing symbol",IF($D156="","Missing action",IF(AND(LOWER($D156)="sell",$E156&gt;IFERROR(LOOKUP(2,1/($B$1:B155=B156),$O$1:O155),0)),"Sold more units than available","OK"))))</x:f>
      </x:c>
    </x:row>
    <x:row r="157">
      <x:c r="M157" t="str">
        <x:f>IF(COUNTA($A157:$D157)=0,"",IF($G157&lt;&gt;"",$G157,IF(AND($E157&lt;&gt;"",$F157&lt;&gt;""),$E157*$F157,""))*IF($J157&lt;&gt;"",$J157,1))</x:f>
      </x:c>
      <x:c r="N157" t="str">
        <x:f>IF(COUNTA($A157:$D157)=0,"",IF($H157&lt;&gt;"",$H157,0)*IF($J157&lt;&gt;"",$J157,1))</x:f>
      </x:c>
      <x:c r="O157" t="str">
        <x:f>IF(COUNTA($A157:$D157)=0,"",SWITCH(LOWER($D157),"buy",IFERROR(LOOKUP(2,1/($B$1:B156=B157),$O$1:O156),0)+$E157,"drip",IFERROR(LOOKUP(2,1/($B$1:B156=B157),$O$1:O156),0)+$E157,"sell",IFERROR(LOOKUP(2,1/($B$1:B156=B157),$O$1:O156),0)-$E157,"return_of_capital",IFERROR(LOOKUP(2,1/($B$1:B156=B157),$O$1:O156),0),"split",$E157,IFERROR(LOOKUP(2,1/($B$1:B156=B157),$O$1:O156),0)))</x:f>
      </x:c>
      <x:c r="P157" t="str">
        <x:f>IF(COUNTA($A157:$D157)=0,"",SWITCH(LOWER($D157),"buy",IFERROR(LOOKUP(2,1/($B$1:B156=B157),$P$1:P156),0)+$M157+$N157,"drip",IFERROR(LOOKUP(2,1/($B$1:B156=B157),$P$1:P156),0)+$M157+$N157,"sell",IFERROR(LOOKUP(2,1/($B$1:B156=B157),$P$1:P156),0)-IFERROR(IFERROR(LOOKUP(2,1/($B$1:B156=B157),$P$1:P156),0)/IFERROR(LOOKUP(2,1/($B$1:B156=B157),$O$1:O156),0)*$E157,0),"return_of_capital",IFERROR(LOOKUP(2,1/($B$1:B156=B157),$P$1:P156),0)-ABS($M157),"split",IFERROR(LOOKUP(2,1/($B$1:B156=B157),$P$1:P156),0),IFERROR(LOOKUP(2,1/($B$1:B156=B157),$P$1:P156),0)))</x:f>
      </x:c>
      <x:c r="Q157" t="str">
        <x:f>IFERROR($P157/$O157,"")</x:f>
      </x:c>
      <x:c r="R157" t="str">
        <x:f>IF(LOWER($D157)="sell",$M157-$N157-IFERROR(IFERROR(LOOKUP(2,1/($B$1:B156=B157),$P$1:P156),0)/IFERROR(LOOKUP(2,1/($B$1:B156=B157),$O$1:O156),0)*$E157,0),"")</x:f>
      </x:c>
      <x:c r="S157" t="str">
        <x:f>IF(COUNTA($A157:$D157)=0,"",IF($B157="","Missing symbol",IF($D157="","Missing action",IF(AND(LOWER($D157)="sell",$E157&gt;IFERROR(LOOKUP(2,1/($B$1:B156=B157),$O$1:O156),0)),"Sold more units than available","OK"))))</x:f>
      </x:c>
    </x:row>
    <x:row r="158">
      <x:c r="M158" t="str">
        <x:f>IF(COUNTA($A158:$D158)=0,"",IF($G158&lt;&gt;"",$G158,IF(AND($E158&lt;&gt;"",$F158&lt;&gt;""),$E158*$F158,""))*IF($J158&lt;&gt;"",$J158,1))</x:f>
      </x:c>
      <x:c r="N158" t="str">
        <x:f>IF(COUNTA($A158:$D158)=0,"",IF($H158&lt;&gt;"",$H158,0)*IF($J158&lt;&gt;"",$J158,1))</x:f>
      </x:c>
      <x:c r="O158" t="str">
        <x:f>IF(COUNTA($A158:$D158)=0,"",SWITCH(LOWER($D158),"buy",IFERROR(LOOKUP(2,1/($B$1:B157=B158),$O$1:O157),0)+$E158,"drip",IFERROR(LOOKUP(2,1/($B$1:B157=B158),$O$1:O157),0)+$E158,"sell",IFERROR(LOOKUP(2,1/($B$1:B157=B158),$O$1:O157),0)-$E158,"return_of_capital",IFERROR(LOOKUP(2,1/($B$1:B157=B158),$O$1:O157),0),"split",$E158,IFERROR(LOOKUP(2,1/($B$1:B157=B158),$O$1:O157),0)))</x:f>
      </x:c>
      <x:c r="P158" t="str">
        <x:f>IF(COUNTA($A158:$D158)=0,"",SWITCH(LOWER($D158),"buy",IFERROR(LOOKUP(2,1/($B$1:B157=B158),$P$1:P157),0)+$M158+$N158,"drip",IFERROR(LOOKUP(2,1/($B$1:B157=B158),$P$1:P157),0)+$M158+$N158,"sell",IFERROR(LOOKUP(2,1/($B$1:B157=B158),$P$1:P157),0)-IFERROR(IFERROR(LOOKUP(2,1/($B$1:B157=B158),$P$1:P157),0)/IFERROR(LOOKUP(2,1/($B$1:B157=B158),$O$1:O157),0)*$E158,0),"return_of_capital",IFERROR(LOOKUP(2,1/($B$1:B157=B158),$P$1:P157),0)-ABS($M158),"split",IFERROR(LOOKUP(2,1/($B$1:B157=B158),$P$1:P157),0),IFERROR(LOOKUP(2,1/($B$1:B157=B158),$P$1:P157),0)))</x:f>
      </x:c>
      <x:c r="Q158" t="str">
        <x:f>IFERROR($P158/$O158,"")</x:f>
      </x:c>
      <x:c r="R158" t="str">
        <x:f>IF(LOWER($D158)="sell",$M158-$N158-IFERROR(IFERROR(LOOKUP(2,1/($B$1:B157=B158),$P$1:P157),0)/IFERROR(LOOKUP(2,1/($B$1:B157=B158),$O$1:O157),0)*$E158,0),"")</x:f>
      </x:c>
      <x:c r="S158" t="str">
        <x:f>IF(COUNTA($A158:$D158)=0,"",IF($B158="","Missing symbol",IF($D158="","Missing action",IF(AND(LOWER($D158)="sell",$E158&gt;IFERROR(LOOKUP(2,1/($B$1:B157=B158),$O$1:O157),0)),"Sold more units than available","OK"))))</x:f>
      </x:c>
    </x:row>
    <x:row r="159">
      <x:c r="M159" t="str">
        <x:f>IF(COUNTA($A159:$D159)=0,"",IF($G159&lt;&gt;"",$G159,IF(AND($E159&lt;&gt;"",$F159&lt;&gt;""),$E159*$F159,""))*IF($J159&lt;&gt;"",$J159,1))</x:f>
      </x:c>
      <x:c r="N159" t="str">
        <x:f>IF(COUNTA($A159:$D159)=0,"",IF($H159&lt;&gt;"",$H159,0)*IF($J159&lt;&gt;"",$J159,1))</x:f>
      </x:c>
      <x:c r="O159" t="str">
        <x:f>IF(COUNTA($A159:$D159)=0,"",SWITCH(LOWER($D159),"buy",IFERROR(LOOKUP(2,1/($B$1:B158=B159),$O$1:O158),0)+$E159,"drip",IFERROR(LOOKUP(2,1/($B$1:B158=B159),$O$1:O158),0)+$E159,"sell",IFERROR(LOOKUP(2,1/($B$1:B158=B159),$O$1:O158),0)-$E159,"return_of_capital",IFERROR(LOOKUP(2,1/($B$1:B158=B159),$O$1:O158),0),"split",$E159,IFERROR(LOOKUP(2,1/($B$1:B158=B159),$O$1:O158),0)))</x:f>
      </x:c>
      <x:c r="P159" t="str">
        <x:f>IF(COUNTA($A159:$D159)=0,"",SWITCH(LOWER($D159),"buy",IFERROR(LOOKUP(2,1/($B$1:B158=B159),$P$1:P158),0)+$M159+$N159,"drip",IFERROR(LOOKUP(2,1/($B$1:B158=B159),$P$1:P158),0)+$M159+$N159,"sell",IFERROR(LOOKUP(2,1/($B$1:B158=B159),$P$1:P158),0)-IFERROR(IFERROR(LOOKUP(2,1/($B$1:B158=B159),$P$1:P158),0)/IFERROR(LOOKUP(2,1/($B$1:B158=B159),$O$1:O158),0)*$E159,0),"return_of_capital",IFERROR(LOOKUP(2,1/($B$1:B158=B159),$P$1:P158),0)-ABS($M159),"split",IFERROR(LOOKUP(2,1/($B$1:B158=B159),$P$1:P158),0),IFERROR(LOOKUP(2,1/($B$1:B158=B159),$P$1:P158),0)))</x:f>
      </x:c>
      <x:c r="Q159" t="str">
        <x:f>IFERROR($P159/$O159,"")</x:f>
      </x:c>
      <x:c r="R159" t="str">
        <x:f>IF(LOWER($D159)="sell",$M159-$N159-IFERROR(IFERROR(LOOKUP(2,1/($B$1:B158=B159),$P$1:P158),0)/IFERROR(LOOKUP(2,1/($B$1:B158=B159),$O$1:O158),0)*$E159,0),"")</x:f>
      </x:c>
      <x:c r="S159" t="str">
        <x:f>IF(COUNTA($A159:$D159)=0,"",IF($B159="","Missing symbol",IF($D159="","Missing action",IF(AND(LOWER($D159)="sell",$E159&gt;IFERROR(LOOKUP(2,1/($B$1:B158=B159),$O$1:O158),0)),"Sold more units than available","OK"))))</x:f>
      </x:c>
    </x:row>
    <x:row r="160">
      <x:c r="M160" t="str">
        <x:f>IF(COUNTA($A160:$D160)=0,"",IF($G160&lt;&gt;"",$G160,IF(AND($E160&lt;&gt;"",$F160&lt;&gt;""),$E160*$F160,""))*IF($J160&lt;&gt;"",$J160,1))</x:f>
      </x:c>
      <x:c r="N160" t="str">
        <x:f>IF(COUNTA($A160:$D160)=0,"",IF($H160&lt;&gt;"",$H160,0)*IF($J160&lt;&gt;"",$J160,1))</x:f>
      </x:c>
      <x:c r="O160" t="str">
        <x:f>IF(COUNTA($A160:$D160)=0,"",SWITCH(LOWER($D160),"buy",IFERROR(LOOKUP(2,1/($B$1:B159=B160),$O$1:O159),0)+$E160,"drip",IFERROR(LOOKUP(2,1/($B$1:B159=B160),$O$1:O159),0)+$E160,"sell",IFERROR(LOOKUP(2,1/($B$1:B159=B160),$O$1:O159),0)-$E160,"return_of_capital",IFERROR(LOOKUP(2,1/($B$1:B159=B160),$O$1:O159),0),"split",$E160,IFERROR(LOOKUP(2,1/($B$1:B159=B160),$O$1:O159),0)))</x:f>
      </x:c>
      <x:c r="P160" t="str">
        <x:f>IF(COUNTA($A160:$D160)=0,"",SWITCH(LOWER($D160),"buy",IFERROR(LOOKUP(2,1/($B$1:B159=B160),$P$1:P159),0)+$M160+$N160,"drip",IFERROR(LOOKUP(2,1/($B$1:B159=B160),$P$1:P159),0)+$M160+$N160,"sell",IFERROR(LOOKUP(2,1/($B$1:B159=B160),$P$1:P159),0)-IFERROR(IFERROR(LOOKUP(2,1/($B$1:B159=B160),$P$1:P159),0)/IFERROR(LOOKUP(2,1/($B$1:B159=B160),$O$1:O159),0)*$E160,0),"return_of_capital",IFERROR(LOOKUP(2,1/($B$1:B159=B160),$P$1:P159),0)-ABS($M160),"split",IFERROR(LOOKUP(2,1/($B$1:B159=B160),$P$1:P159),0),IFERROR(LOOKUP(2,1/($B$1:B159=B160),$P$1:P159),0)))</x:f>
      </x:c>
      <x:c r="Q160" t="str">
        <x:f>IFERROR($P160/$O160,"")</x:f>
      </x:c>
      <x:c r="R160" t="str">
        <x:f>IF(LOWER($D160)="sell",$M160-$N160-IFERROR(IFERROR(LOOKUP(2,1/($B$1:B159=B160),$P$1:P159),0)/IFERROR(LOOKUP(2,1/($B$1:B159=B160),$O$1:O159),0)*$E160,0),"")</x:f>
      </x:c>
      <x:c r="S160" t="str">
        <x:f>IF(COUNTA($A160:$D160)=0,"",IF($B160="","Missing symbol",IF($D160="","Missing action",IF(AND(LOWER($D160)="sell",$E160&gt;IFERROR(LOOKUP(2,1/($B$1:B159=B160),$O$1:O159),0)),"Sold more units than available","OK"))))</x:f>
      </x:c>
    </x:row>
    <x:row r="161">
      <x:c r="M161" t="str">
        <x:f>IF(COUNTA($A161:$D161)=0,"",IF($G161&lt;&gt;"",$G161,IF(AND($E161&lt;&gt;"",$F161&lt;&gt;""),$E161*$F161,""))*IF($J161&lt;&gt;"",$J161,1))</x:f>
      </x:c>
      <x:c r="N161" t="str">
        <x:f>IF(COUNTA($A161:$D161)=0,"",IF($H161&lt;&gt;"",$H161,0)*IF($J161&lt;&gt;"",$J161,1))</x:f>
      </x:c>
      <x:c r="O161" t="str">
        <x:f>IF(COUNTA($A161:$D161)=0,"",SWITCH(LOWER($D161),"buy",IFERROR(LOOKUP(2,1/($B$1:B160=B161),$O$1:O160),0)+$E161,"drip",IFERROR(LOOKUP(2,1/($B$1:B160=B161),$O$1:O160),0)+$E161,"sell",IFERROR(LOOKUP(2,1/($B$1:B160=B161),$O$1:O160),0)-$E161,"return_of_capital",IFERROR(LOOKUP(2,1/($B$1:B160=B161),$O$1:O160),0),"split",$E161,IFERROR(LOOKUP(2,1/($B$1:B160=B161),$O$1:O160),0)))</x:f>
      </x:c>
      <x:c r="P161" t="str">
        <x:f>IF(COUNTA($A161:$D161)=0,"",SWITCH(LOWER($D161),"buy",IFERROR(LOOKUP(2,1/($B$1:B160=B161),$P$1:P160),0)+$M161+$N161,"drip",IFERROR(LOOKUP(2,1/($B$1:B160=B161),$P$1:P160),0)+$M161+$N161,"sell",IFERROR(LOOKUP(2,1/($B$1:B160=B161),$P$1:P160),0)-IFERROR(IFERROR(LOOKUP(2,1/($B$1:B160=B161),$P$1:P160),0)/IFERROR(LOOKUP(2,1/($B$1:B160=B161),$O$1:O160),0)*$E161,0),"return_of_capital",IFERROR(LOOKUP(2,1/($B$1:B160=B161),$P$1:P160),0)-ABS($M161),"split",IFERROR(LOOKUP(2,1/($B$1:B160=B161),$P$1:P160),0),IFERROR(LOOKUP(2,1/($B$1:B160=B161),$P$1:P160),0)))</x:f>
      </x:c>
      <x:c r="Q161" t="str">
        <x:f>IFERROR($P161/$O161,"")</x:f>
      </x:c>
      <x:c r="R161" t="str">
        <x:f>IF(LOWER($D161)="sell",$M161-$N161-IFERROR(IFERROR(LOOKUP(2,1/($B$1:B160=B161),$P$1:P160),0)/IFERROR(LOOKUP(2,1/($B$1:B160=B161),$O$1:O160),0)*$E161,0),"")</x:f>
      </x:c>
      <x:c r="S161" t="str">
        <x:f>IF(COUNTA($A161:$D161)=0,"",IF($B161="","Missing symbol",IF($D161="","Missing action",IF(AND(LOWER($D161)="sell",$E161&gt;IFERROR(LOOKUP(2,1/($B$1:B160=B161),$O$1:O160),0)),"Sold more units than available","OK"))))</x:f>
      </x:c>
    </x:row>
    <x:row r="162">
      <x:c r="M162" t="str">
        <x:f>IF(COUNTA($A162:$D162)=0,"",IF($G162&lt;&gt;"",$G162,IF(AND($E162&lt;&gt;"",$F162&lt;&gt;""),$E162*$F162,""))*IF($J162&lt;&gt;"",$J162,1))</x:f>
      </x:c>
      <x:c r="N162" t="str">
        <x:f>IF(COUNTA($A162:$D162)=0,"",IF($H162&lt;&gt;"",$H162,0)*IF($J162&lt;&gt;"",$J162,1))</x:f>
      </x:c>
      <x:c r="O162" t="str">
        <x:f>IF(COUNTA($A162:$D162)=0,"",SWITCH(LOWER($D162),"buy",IFERROR(LOOKUP(2,1/($B$1:B161=B162),$O$1:O161),0)+$E162,"drip",IFERROR(LOOKUP(2,1/($B$1:B161=B162),$O$1:O161),0)+$E162,"sell",IFERROR(LOOKUP(2,1/($B$1:B161=B162),$O$1:O161),0)-$E162,"return_of_capital",IFERROR(LOOKUP(2,1/($B$1:B161=B162),$O$1:O161),0),"split",$E162,IFERROR(LOOKUP(2,1/($B$1:B161=B162),$O$1:O161),0)))</x:f>
      </x:c>
      <x:c r="P162" t="str">
        <x:f>IF(COUNTA($A162:$D162)=0,"",SWITCH(LOWER($D162),"buy",IFERROR(LOOKUP(2,1/($B$1:B161=B162),$P$1:P161),0)+$M162+$N162,"drip",IFERROR(LOOKUP(2,1/($B$1:B161=B162),$P$1:P161),0)+$M162+$N162,"sell",IFERROR(LOOKUP(2,1/($B$1:B161=B162),$P$1:P161),0)-IFERROR(IFERROR(LOOKUP(2,1/($B$1:B161=B162),$P$1:P161),0)/IFERROR(LOOKUP(2,1/($B$1:B161=B162),$O$1:O161),0)*$E162,0),"return_of_capital",IFERROR(LOOKUP(2,1/($B$1:B161=B162),$P$1:P161),0)-ABS($M162),"split",IFERROR(LOOKUP(2,1/($B$1:B161=B162),$P$1:P161),0),IFERROR(LOOKUP(2,1/($B$1:B161=B162),$P$1:P161),0)))</x:f>
      </x:c>
      <x:c r="Q162" t="str">
        <x:f>IFERROR($P162/$O162,"")</x:f>
      </x:c>
      <x:c r="R162" t="str">
        <x:f>IF(LOWER($D162)="sell",$M162-$N162-IFERROR(IFERROR(LOOKUP(2,1/($B$1:B161=B162),$P$1:P161),0)/IFERROR(LOOKUP(2,1/($B$1:B161=B162),$O$1:O161),0)*$E162,0),"")</x:f>
      </x:c>
      <x:c r="S162" t="str">
        <x:f>IF(COUNTA($A162:$D162)=0,"",IF($B162="","Missing symbol",IF($D162="","Missing action",IF(AND(LOWER($D162)="sell",$E162&gt;IFERROR(LOOKUP(2,1/($B$1:B161=B162),$O$1:O161),0)),"Sold more units than available","OK"))))</x:f>
      </x:c>
    </x:row>
    <x:row r="163">
      <x:c r="M163" t="str">
        <x:f>IF(COUNTA($A163:$D163)=0,"",IF($G163&lt;&gt;"",$G163,IF(AND($E163&lt;&gt;"",$F163&lt;&gt;""),$E163*$F163,""))*IF($J163&lt;&gt;"",$J163,1))</x:f>
      </x:c>
      <x:c r="N163" t="str">
        <x:f>IF(COUNTA($A163:$D163)=0,"",IF($H163&lt;&gt;"",$H163,0)*IF($J163&lt;&gt;"",$J163,1))</x:f>
      </x:c>
      <x:c r="O163" t="str">
        <x:f>IF(COUNTA($A163:$D163)=0,"",SWITCH(LOWER($D163),"buy",IFERROR(LOOKUP(2,1/($B$1:B162=B163),$O$1:O162),0)+$E163,"drip",IFERROR(LOOKUP(2,1/($B$1:B162=B163),$O$1:O162),0)+$E163,"sell",IFERROR(LOOKUP(2,1/($B$1:B162=B163),$O$1:O162),0)-$E163,"return_of_capital",IFERROR(LOOKUP(2,1/($B$1:B162=B163),$O$1:O162),0),"split",$E163,IFERROR(LOOKUP(2,1/($B$1:B162=B163),$O$1:O162),0)))</x:f>
      </x:c>
      <x:c r="P163" t="str">
        <x:f>IF(COUNTA($A163:$D163)=0,"",SWITCH(LOWER($D163),"buy",IFERROR(LOOKUP(2,1/($B$1:B162=B163),$P$1:P162),0)+$M163+$N163,"drip",IFERROR(LOOKUP(2,1/($B$1:B162=B163),$P$1:P162),0)+$M163+$N163,"sell",IFERROR(LOOKUP(2,1/($B$1:B162=B163),$P$1:P162),0)-IFERROR(IFERROR(LOOKUP(2,1/($B$1:B162=B163),$P$1:P162),0)/IFERROR(LOOKUP(2,1/($B$1:B162=B163),$O$1:O162),0)*$E163,0),"return_of_capital",IFERROR(LOOKUP(2,1/($B$1:B162=B163),$P$1:P162),0)-ABS($M163),"split",IFERROR(LOOKUP(2,1/($B$1:B162=B163),$P$1:P162),0),IFERROR(LOOKUP(2,1/($B$1:B162=B163),$P$1:P162),0)))</x:f>
      </x:c>
      <x:c r="Q163" t="str">
        <x:f>IFERROR($P163/$O163,"")</x:f>
      </x:c>
      <x:c r="R163" t="str">
        <x:f>IF(LOWER($D163)="sell",$M163-$N163-IFERROR(IFERROR(LOOKUP(2,1/($B$1:B162=B163),$P$1:P162),0)/IFERROR(LOOKUP(2,1/($B$1:B162=B163),$O$1:O162),0)*$E163,0),"")</x:f>
      </x:c>
      <x:c r="S163" t="str">
        <x:f>IF(COUNTA($A163:$D163)=0,"",IF($B163="","Missing symbol",IF($D163="","Missing action",IF(AND(LOWER($D163)="sell",$E163&gt;IFERROR(LOOKUP(2,1/($B$1:B162=B163),$O$1:O162),0)),"Sold more units than available","OK"))))</x:f>
      </x:c>
    </x:row>
    <x:row r="164">
      <x:c r="M164" t="str">
        <x:f>IF(COUNTA($A164:$D164)=0,"",IF($G164&lt;&gt;"",$G164,IF(AND($E164&lt;&gt;"",$F164&lt;&gt;""),$E164*$F164,""))*IF($J164&lt;&gt;"",$J164,1))</x:f>
      </x:c>
      <x:c r="N164" t="str">
        <x:f>IF(COUNTA($A164:$D164)=0,"",IF($H164&lt;&gt;"",$H164,0)*IF($J164&lt;&gt;"",$J164,1))</x:f>
      </x:c>
      <x:c r="O164" t="str">
        <x:f>IF(COUNTA($A164:$D164)=0,"",SWITCH(LOWER($D164),"buy",IFERROR(LOOKUP(2,1/($B$1:B163=B164),$O$1:O163),0)+$E164,"drip",IFERROR(LOOKUP(2,1/($B$1:B163=B164),$O$1:O163),0)+$E164,"sell",IFERROR(LOOKUP(2,1/($B$1:B163=B164),$O$1:O163),0)-$E164,"return_of_capital",IFERROR(LOOKUP(2,1/($B$1:B163=B164),$O$1:O163),0),"split",$E164,IFERROR(LOOKUP(2,1/($B$1:B163=B164),$O$1:O163),0)))</x:f>
      </x:c>
      <x:c r="P164" t="str">
        <x:f>IF(COUNTA($A164:$D164)=0,"",SWITCH(LOWER($D164),"buy",IFERROR(LOOKUP(2,1/($B$1:B163=B164),$P$1:P163),0)+$M164+$N164,"drip",IFERROR(LOOKUP(2,1/($B$1:B163=B164),$P$1:P163),0)+$M164+$N164,"sell",IFERROR(LOOKUP(2,1/($B$1:B163=B164),$P$1:P163),0)-IFERROR(IFERROR(LOOKUP(2,1/($B$1:B163=B164),$P$1:P163),0)/IFERROR(LOOKUP(2,1/($B$1:B163=B164),$O$1:O163),0)*$E164,0),"return_of_capital",IFERROR(LOOKUP(2,1/($B$1:B163=B164),$P$1:P163),0)-ABS($M164),"split",IFERROR(LOOKUP(2,1/($B$1:B163=B164),$P$1:P163),0),IFERROR(LOOKUP(2,1/($B$1:B163=B164),$P$1:P163),0)))</x:f>
      </x:c>
      <x:c r="Q164" t="str">
        <x:f>IFERROR($P164/$O164,"")</x:f>
      </x:c>
      <x:c r="R164" t="str">
        <x:f>IF(LOWER($D164)="sell",$M164-$N164-IFERROR(IFERROR(LOOKUP(2,1/($B$1:B163=B164),$P$1:P163),0)/IFERROR(LOOKUP(2,1/($B$1:B163=B164),$O$1:O163),0)*$E164,0),"")</x:f>
      </x:c>
      <x:c r="S164" t="str">
        <x:f>IF(COUNTA($A164:$D164)=0,"",IF($B164="","Missing symbol",IF($D164="","Missing action",IF(AND(LOWER($D164)="sell",$E164&gt;IFERROR(LOOKUP(2,1/($B$1:B163=B164),$O$1:O163),0)),"Sold more units than available","OK"))))</x:f>
      </x:c>
    </x:row>
    <x:row r="165">
      <x:c r="M165" t="str">
        <x:f>IF(COUNTA($A165:$D165)=0,"",IF($G165&lt;&gt;"",$G165,IF(AND($E165&lt;&gt;"",$F165&lt;&gt;""),$E165*$F165,""))*IF($J165&lt;&gt;"",$J165,1))</x:f>
      </x:c>
      <x:c r="N165" t="str">
        <x:f>IF(COUNTA($A165:$D165)=0,"",IF($H165&lt;&gt;"",$H165,0)*IF($J165&lt;&gt;"",$J165,1))</x:f>
      </x:c>
      <x:c r="O165" t="str">
        <x:f>IF(COUNTA($A165:$D165)=0,"",SWITCH(LOWER($D165),"buy",IFERROR(LOOKUP(2,1/($B$1:B164=B165),$O$1:O164),0)+$E165,"drip",IFERROR(LOOKUP(2,1/($B$1:B164=B165),$O$1:O164),0)+$E165,"sell",IFERROR(LOOKUP(2,1/($B$1:B164=B165),$O$1:O164),0)-$E165,"return_of_capital",IFERROR(LOOKUP(2,1/($B$1:B164=B165),$O$1:O164),0),"split",$E165,IFERROR(LOOKUP(2,1/($B$1:B164=B165),$O$1:O164),0)))</x:f>
      </x:c>
      <x:c r="P165" t="str">
        <x:f>IF(COUNTA($A165:$D165)=0,"",SWITCH(LOWER($D165),"buy",IFERROR(LOOKUP(2,1/($B$1:B164=B165),$P$1:P164),0)+$M165+$N165,"drip",IFERROR(LOOKUP(2,1/($B$1:B164=B165),$P$1:P164),0)+$M165+$N165,"sell",IFERROR(LOOKUP(2,1/($B$1:B164=B165),$P$1:P164),0)-IFERROR(IFERROR(LOOKUP(2,1/($B$1:B164=B165),$P$1:P164),0)/IFERROR(LOOKUP(2,1/($B$1:B164=B165),$O$1:O164),0)*$E165,0),"return_of_capital",IFERROR(LOOKUP(2,1/($B$1:B164=B165),$P$1:P164),0)-ABS($M165),"split",IFERROR(LOOKUP(2,1/($B$1:B164=B165),$P$1:P164),0),IFERROR(LOOKUP(2,1/($B$1:B164=B165),$P$1:P164),0)))</x:f>
      </x:c>
      <x:c r="Q165" t="str">
        <x:f>IFERROR($P165/$O165,"")</x:f>
      </x:c>
      <x:c r="R165" t="str">
        <x:f>IF(LOWER($D165)="sell",$M165-$N165-IFERROR(IFERROR(LOOKUP(2,1/($B$1:B164=B165),$P$1:P164),0)/IFERROR(LOOKUP(2,1/($B$1:B164=B165),$O$1:O164),0)*$E165,0),"")</x:f>
      </x:c>
      <x:c r="S165" t="str">
        <x:f>IF(COUNTA($A165:$D165)=0,"",IF($B165="","Missing symbol",IF($D165="","Missing action",IF(AND(LOWER($D165)="sell",$E165&gt;IFERROR(LOOKUP(2,1/($B$1:B164=B165),$O$1:O164),0)),"Sold more units than available","OK"))))</x:f>
      </x:c>
    </x:row>
    <x:row r="166">
      <x:c r="M166" t="str">
        <x:f>IF(COUNTA($A166:$D166)=0,"",IF($G166&lt;&gt;"",$G166,IF(AND($E166&lt;&gt;"",$F166&lt;&gt;""),$E166*$F166,""))*IF($J166&lt;&gt;"",$J166,1))</x:f>
      </x:c>
      <x:c r="N166" t="str">
        <x:f>IF(COUNTA($A166:$D166)=0,"",IF($H166&lt;&gt;"",$H166,0)*IF($J166&lt;&gt;"",$J166,1))</x:f>
      </x:c>
      <x:c r="O166" t="str">
        <x:f>IF(COUNTA($A166:$D166)=0,"",SWITCH(LOWER($D166),"buy",IFERROR(LOOKUP(2,1/($B$1:B165=B166),$O$1:O165),0)+$E166,"drip",IFERROR(LOOKUP(2,1/($B$1:B165=B166),$O$1:O165),0)+$E166,"sell",IFERROR(LOOKUP(2,1/($B$1:B165=B166),$O$1:O165),0)-$E166,"return_of_capital",IFERROR(LOOKUP(2,1/($B$1:B165=B166),$O$1:O165),0),"split",$E166,IFERROR(LOOKUP(2,1/($B$1:B165=B166),$O$1:O165),0)))</x:f>
      </x:c>
      <x:c r="P166" t="str">
        <x:f>IF(COUNTA($A166:$D166)=0,"",SWITCH(LOWER($D166),"buy",IFERROR(LOOKUP(2,1/($B$1:B165=B166),$P$1:P165),0)+$M166+$N166,"drip",IFERROR(LOOKUP(2,1/($B$1:B165=B166),$P$1:P165),0)+$M166+$N166,"sell",IFERROR(LOOKUP(2,1/($B$1:B165=B166),$P$1:P165),0)-IFERROR(IFERROR(LOOKUP(2,1/($B$1:B165=B166),$P$1:P165),0)/IFERROR(LOOKUP(2,1/($B$1:B165=B166),$O$1:O165),0)*$E166,0),"return_of_capital",IFERROR(LOOKUP(2,1/($B$1:B165=B166),$P$1:P165),0)-ABS($M166),"split",IFERROR(LOOKUP(2,1/($B$1:B165=B166),$P$1:P165),0),IFERROR(LOOKUP(2,1/($B$1:B165=B166),$P$1:P165),0)))</x:f>
      </x:c>
      <x:c r="Q166" t="str">
        <x:f>IFERROR($P166/$O166,"")</x:f>
      </x:c>
      <x:c r="R166" t="str">
        <x:f>IF(LOWER($D166)="sell",$M166-$N166-IFERROR(IFERROR(LOOKUP(2,1/($B$1:B165=B166),$P$1:P165),0)/IFERROR(LOOKUP(2,1/($B$1:B165=B166),$O$1:O165),0)*$E166,0),"")</x:f>
      </x:c>
      <x:c r="S166" t="str">
        <x:f>IF(COUNTA($A166:$D166)=0,"",IF($B166="","Missing symbol",IF($D166="","Missing action",IF(AND(LOWER($D166)="sell",$E166&gt;IFERROR(LOOKUP(2,1/($B$1:B165=B166),$O$1:O165),0)),"Sold more units than available","OK"))))</x:f>
      </x:c>
    </x:row>
    <x:row r="167">
      <x:c r="M167" t="str">
        <x:f>IF(COUNTA($A167:$D167)=0,"",IF($G167&lt;&gt;"",$G167,IF(AND($E167&lt;&gt;"",$F167&lt;&gt;""),$E167*$F167,""))*IF($J167&lt;&gt;"",$J167,1))</x:f>
      </x:c>
      <x:c r="N167" t="str">
        <x:f>IF(COUNTA($A167:$D167)=0,"",IF($H167&lt;&gt;"",$H167,0)*IF($J167&lt;&gt;"",$J167,1))</x:f>
      </x:c>
      <x:c r="O167" t="str">
        <x:f>IF(COUNTA($A167:$D167)=0,"",SWITCH(LOWER($D167),"buy",IFERROR(LOOKUP(2,1/($B$1:B166=B167),$O$1:O166),0)+$E167,"drip",IFERROR(LOOKUP(2,1/($B$1:B166=B167),$O$1:O166),0)+$E167,"sell",IFERROR(LOOKUP(2,1/($B$1:B166=B167),$O$1:O166),0)-$E167,"return_of_capital",IFERROR(LOOKUP(2,1/($B$1:B166=B167),$O$1:O166),0),"split",$E167,IFERROR(LOOKUP(2,1/($B$1:B166=B167),$O$1:O166),0)))</x:f>
      </x:c>
      <x:c r="P167" t="str">
        <x:f>IF(COUNTA($A167:$D167)=0,"",SWITCH(LOWER($D167),"buy",IFERROR(LOOKUP(2,1/($B$1:B166=B167),$P$1:P166),0)+$M167+$N167,"drip",IFERROR(LOOKUP(2,1/($B$1:B166=B167),$P$1:P166),0)+$M167+$N167,"sell",IFERROR(LOOKUP(2,1/($B$1:B166=B167),$P$1:P166),0)-IFERROR(IFERROR(LOOKUP(2,1/($B$1:B166=B167),$P$1:P166),0)/IFERROR(LOOKUP(2,1/($B$1:B166=B167),$O$1:O166),0)*$E167,0),"return_of_capital",IFERROR(LOOKUP(2,1/($B$1:B166=B167),$P$1:P166),0)-ABS($M167),"split",IFERROR(LOOKUP(2,1/($B$1:B166=B167),$P$1:P166),0),IFERROR(LOOKUP(2,1/($B$1:B166=B167),$P$1:P166),0)))</x:f>
      </x:c>
      <x:c r="Q167" t="str">
        <x:f>IFERROR($P167/$O167,"")</x:f>
      </x:c>
      <x:c r="R167" t="str">
        <x:f>IF(LOWER($D167)="sell",$M167-$N167-IFERROR(IFERROR(LOOKUP(2,1/($B$1:B166=B167),$P$1:P166),0)/IFERROR(LOOKUP(2,1/($B$1:B166=B167),$O$1:O166),0)*$E167,0),"")</x:f>
      </x:c>
      <x:c r="S167" t="str">
        <x:f>IF(COUNTA($A167:$D167)=0,"",IF($B167="","Missing symbol",IF($D167="","Missing action",IF(AND(LOWER($D167)="sell",$E167&gt;IFERROR(LOOKUP(2,1/($B$1:B166=B167),$O$1:O166),0)),"Sold more units than available","OK"))))</x:f>
      </x:c>
    </x:row>
    <x:row r="168">
      <x:c r="M168" t="str">
        <x:f>IF(COUNTA($A168:$D168)=0,"",IF($G168&lt;&gt;"",$G168,IF(AND($E168&lt;&gt;"",$F168&lt;&gt;""),$E168*$F168,""))*IF($J168&lt;&gt;"",$J168,1))</x:f>
      </x:c>
      <x:c r="N168" t="str">
        <x:f>IF(COUNTA($A168:$D168)=0,"",IF($H168&lt;&gt;"",$H168,0)*IF($J168&lt;&gt;"",$J168,1))</x:f>
      </x:c>
      <x:c r="O168" t="str">
        <x:f>IF(COUNTA($A168:$D168)=0,"",SWITCH(LOWER($D168),"buy",IFERROR(LOOKUP(2,1/($B$1:B167=B168),$O$1:O167),0)+$E168,"drip",IFERROR(LOOKUP(2,1/($B$1:B167=B168),$O$1:O167),0)+$E168,"sell",IFERROR(LOOKUP(2,1/($B$1:B167=B168),$O$1:O167),0)-$E168,"return_of_capital",IFERROR(LOOKUP(2,1/($B$1:B167=B168),$O$1:O167),0),"split",$E168,IFERROR(LOOKUP(2,1/($B$1:B167=B168),$O$1:O167),0)))</x:f>
      </x:c>
      <x:c r="P168" t="str">
        <x:f>IF(COUNTA($A168:$D168)=0,"",SWITCH(LOWER($D168),"buy",IFERROR(LOOKUP(2,1/($B$1:B167=B168),$P$1:P167),0)+$M168+$N168,"drip",IFERROR(LOOKUP(2,1/($B$1:B167=B168),$P$1:P167),0)+$M168+$N168,"sell",IFERROR(LOOKUP(2,1/($B$1:B167=B168),$P$1:P167),0)-IFERROR(IFERROR(LOOKUP(2,1/($B$1:B167=B168),$P$1:P167),0)/IFERROR(LOOKUP(2,1/($B$1:B167=B168),$O$1:O167),0)*$E168,0),"return_of_capital",IFERROR(LOOKUP(2,1/($B$1:B167=B168),$P$1:P167),0)-ABS($M168),"split",IFERROR(LOOKUP(2,1/($B$1:B167=B168),$P$1:P167),0),IFERROR(LOOKUP(2,1/($B$1:B167=B168),$P$1:P167),0)))</x:f>
      </x:c>
      <x:c r="Q168" t="str">
        <x:f>IFERROR($P168/$O168,"")</x:f>
      </x:c>
      <x:c r="R168" t="str">
        <x:f>IF(LOWER($D168)="sell",$M168-$N168-IFERROR(IFERROR(LOOKUP(2,1/($B$1:B167=B168),$P$1:P167),0)/IFERROR(LOOKUP(2,1/($B$1:B167=B168),$O$1:O167),0)*$E168,0),"")</x:f>
      </x:c>
      <x:c r="S168" t="str">
        <x:f>IF(COUNTA($A168:$D168)=0,"",IF($B168="","Missing symbol",IF($D168="","Missing action",IF(AND(LOWER($D168)="sell",$E168&gt;IFERROR(LOOKUP(2,1/($B$1:B167=B168),$O$1:O167),0)),"Sold more units than available","OK"))))</x:f>
      </x:c>
    </x:row>
    <x:row r="169">
      <x:c r="M169" t="str">
        <x:f>IF(COUNTA($A169:$D169)=0,"",IF($G169&lt;&gt;"",$G169,IF(AND($E169&lt;&gt;"",$F169&lt;&gt;""),$E169*$F169,""))*IF($J169&lt;&gt;"",$J169,1))</x:f>
      </x:c>
      <x:c r="N169" t="str">
        <x:f>IF(COUNTA($A169:$D169)=0,"",IF($H169&lt;&gt;"",$H169,0)*IF($J169&lt;&gt;"",$J169,1))</x:f>
      </x:c>
      <x:c r="O169" t="str">
        <x:f>IF(COUNTA($A169:$D169)=0,"",SWITCH(LOWER($D169),"buy",IFERROR(LOOKUP(2,1/($B$1:B168=B169),$O$1:O168),0)+$E169,"drip",IFERROR(LOOKUP(2,1/($B$1:B168=B169),$O$1:O168),0)+$E169,"sell",IFERROR(LOOKUP(2,1/($B$1:B168=B169),$O$1:O168),0)-$E169,"return_of_capital",IFERROR(LOOKUP(2,1/($B$1:B168=B169),$O$1:O168),0),"split",$E169,IFERROR(LOOKUP(2,1/($B$1:B168=B169),$O$1:O168),0)))</x:f>
      </x:c>
      <x:c r="P169" t="str">
        <x:f>IF(COUNTA($A169:$D169)=0,"",SWITCH(LOWER($D169),"buy",IFERROR(LOOKUP(2,1/($B$1:B168=B169),$P$1:P168),0)+$M169+$N169,"drip",IFERROR(LOOKUP(2,1/($B$1:B168=B169),$P$1:P168),0)+$M169+$N169,"sell",IFERROR(LOOKUP(2,1/($B$1:B168=B169),$P$1:P168),0)-IFERROR(IFERROR(LOOKUP(2,1/($B$1:B168=B169),$P$1:P168),0)/IFERROR(LOOKUP(2,1/($B$1:B168=B169),$O$1:O168),0)*$E169,0),"return_of_capital",IFERROR(LOOKUP(2,1/($B$1:B168=B169),$P$1:P168),0)-ABS($M169),"split",IFERROR(LOOKUP(2,1/($B$1:B168=B169),$P$1:P168),0),IFERROR(LOOKUP(2,1/($B$1:B168=B169),$P$1:P168),0)))</x:f>
      </x:c>
      <x:c r="Q169" t="str">
        <x:f>IFERROR($P169/$O169,"")</x:f>
      </x:c>
      <x:c r="R169" t="str">
        <x:f>IF(LOWER($D169)="sell",$M169-$N169-IFERROR(IFERROR(LOOKUP(2,1/($B$1:B168=B169),$P$1:P168),0)/IFERROR(LOOKUP(2,1/($B$1:B168=B169),$O$1:O168),0)*$E169,0),"")</x:f>
      </x:c>
      <x:c r="S169" t="str">
        <x:f>IF(COUNTA($A169:$D169)=0,"",IF($B169="","Missing symbol",IF($D169="","Missing action",IF(AND(LOWER($D169)="sell",$E169&gt;IFERROR(LOOKUP(2,1/($B$1:B168=B169),$O$1:O168),0)),"Sold more units than available","OK"))))</x:f>
      </x:c>
    </x:row>
    <x:row r="170">
      <x:c r="M170" t="str">
        <x:f>IF(COUNTA($A170:$D170)=0,"",IF($G170&lt;&gt;"",$G170,IF(AND($E170&lt;&gt;"",$F170&lt;&gt;""),$E170*$F170,""))*IF($J170&lt;&gt;"",$J170,1))</x:f>
      </x:c>
      <x:c r="N170" t="str">
        <x:f>IF(COUNTA($A170:$D170)=0,"",IF($H170&lt;&gt;"",$H170,0)*IF($J170&lt;&gt;"",$J170,1))</x:f>
      </x:c>
      <x:c r="O170" t="str">
        <x:f>IF(COUNTA($A170:$D170)=0,"",SWITCH(LOWER($D170),"buy",IFERROR(LOOKUP(2,1/($B$1:B169=B170),$O$1:O169),0)+$E170,"drip",IFERROR(LOOKUP(2,1/($B$1:B169=B170),$O$1:O169),0)+$E170,"sell",IFERROR(LOOKUP(2,1/($B$1:B169=B170),$O$1:O169),0)-$E170,"return_of_capital",IFERROR(LOOKUP(2,1/($B$1:B169=B170),$O$1:O169),0),"split",$E170,IFERROR(LOOKUP(2,1/($B$1:B169=B170),$O$1:O169),0)))</x:f>
      </x:c>
      <x:c r="P170" t="str">
        <x:f>IF(COUNTA($A170:$D170)=0,"",SWITCH(LOWER($D170),"buy",IFERROR(LOOKUP(2,1/($B$1:B169=B170),$P$1:P169),0)+$M170+$N170,"drip",IFERROR(LOOKUP(2,1/($B$1:B169=B170),$P$1:P169),0)+$M170+$N170,"sell",IFERROR(LOOKUP(2,1/($B$1:B169=B170),$P$1:P169),0)-IFERROR(IFERROR(LOOKUP(2,1/($B$1:B169=B170),$P$1:P169),0)/IFERROR(LOOKUP(2,1/($B$1:B169=B170),$O$1:O169),0)*$E170,0),"return_of_capital",IFERROR(LOOKUP(2,1/($B$1:B169=B170),$P$1:P169),0)-ABS($M170),"split",IFERROR(LOOKUP(2,1/($B$1:B169=B170),$P$1:P169),0),IFERROR(LOOKUP(2,1/($B$1:B169=B170),$P$1:P169),0)))</x:f>
      </x:c>
      <x:c r="Q170" t="str">
        <x:f>IFERROR($P170/$O170,"")</x:f>
      </x:c>
      <x:c r="R170" t="str">
        <x:f>IF(LOWER($D170)="sell",$M170-$N170-IFERROR(IFERROR(LOOKUP(2,1/($B$1:B169=B170),$P$1:P169),0)/IFERROR(LOOKUP(2,1/($B$1:B169=B170),$O$1:O169),0)*$E170,0),"")</x:f>
      </x:c>
      <x:c r="S170" t="str">
        <x:f>IF(COUNTA($A170:$D170)=0,"",IF($B170="","Missing symbol",IF($D170="","Missing action",IF(AND(LOWER($D170)="sell",$E170&gt;IFERROR(LOOKUP(2,1/($B$1:B169=B170),$O$1:O169),0)),"Sold more units than available","OK"))))</x:f>
      </x:c>
    </x:row>
    <x:row r="171">
      <x:c r="M171" t="str">
        <x:f>IF(COUNTA($A171:$D171)=0,"",IF($G171&lt;&gt;"",$G171,IF(AND($E171&lt;&gt;"",$F171&lt;&gt;""),$E171*$F171,""))*IF($J171&lt;&gt;"",$J171,1))</x:f>
      </x:c>
      <x:c r="N171" t="str">
        <x:f>IF(COUNTA($A171:$D171)=0,"",IF($H171&lt;&gt;"",$H171,0)*IF($J171&lt;&gt;"",$J171,1))</x:f>
      </x:c>
      <x:c r="O171" t="str">
        <x:f>IF(COUNTA($A171:$D171)=0,"",SWITCH(LOWER($D171),"buy",IFERROR(LOOKUP(2,1/($B$1:B170=B171),$O$1:O170),0)+$E171,"drip",IFERROR(LOOKUP(2,1/($B$1:B170=B171),$O$1:O170),0)+$E171,"sell",IFERROR(LOOKUP(2,1/($B$1:B170=B171),$O$1:O170),0)-$E171,"return_of_capital",IFERROR(LOOKUP(2,1/($B$1:B170=B171),$O$1:O170),0),"split",$E171,IFERROR(LOOKUP(2,1/($B$1:B170=B171),$O$1:O170),0)))</x:f>
      </x:c>
      <x:c r="P171" t="str">
        <x:f>IF(COUNTA($A171:$D171)=0,"",SWITCH(LOWER($D171),"buy",IFERROR(LOOKUP(2,1/($B$1:B170=B171),$P$1:P170),0)+$M171+$N171,"drip",IFERROR(LOOKUP(2,1/($B$1:B170=B171),$P$1:P170),0)+$M171+$N171,"sell",IFERROR(LOOKUP(2,1/($B$1:B170=B171),$P$1:P170),0)-IFERROR(IFERROR(LOOKUP(2,1/($B$1:B170=B171),$P$1:P170),0)/IFERROR(LOOKUP(2,1/($B$1:B170=B171),$O$1:O170),0)*$E171,0),"return_of_capital",IFERROR(LOOKUP(2,1/($B$1:B170=B171),$P$1:P170),0)-ABS($M171),"split",IFERROR(LOOKUP(2,1/($B$1:B170=B171),$P$1:P170),0),IFERROR(LOOKUP(2,1/($B$1:B170=B171),$P$1:P170),0)))</x:f>
      </x:c>
      <x:c r="Q171" t="str">
        <x:f>IFERROR($P171/$O171,"")</x:f>
      </x:c>
      <x:c r="R171" t="str">
        <x:f>IF(LOWER($D171)="sell",$M171-$N171-IFERROR(IFERROR(LOOKUP(2,1/($B$1:B170=B171),$P$1:P170),0)/IFERROR(LOOKUP(2,1/($B$1:B170=B171),$O$1:O170),0)*$E171,0),"")</x:f>
      </x:c>
      <x:c r="S171" t="str">
        <x:f>IF(COUNTA($A171:$D171)=0,"",IF($B171="","Missing symbol",IF($D171="","Missing action",IF(AND(LOWER($D171)="sell",$E171&gt;IFERROR(LOOKUP(2,1/($B$1:B170=B171),$O$1:O170),0)),"Sold more units than available","OK"))))</x:f>
      </x:c>
    </x:row>
    <x:row r="172">
      <x:c r="M172" t="str">
        <x:f>IF(COUNTA($A172:$D172)=0,"",IF($G172&lt;&gt;"",$G172,IF(AND($E172&lt;&gt;"",$F172&lt;&gt;""),$E172*$F172,""))*IF($J172&lt;&gt;"",$J172,1))</x:f>
      </x:c>
      <x:c r="N172" t="str">
        <x:f>IF(COUNTA($A172:$D172)=0,"",IF($H172&lt;&gt;"",$H172,0)*IF($J172&lt;&gt;"",$J172,1))</x:f>
      </x:c>
      <x:c r="O172" t="str">
        <x:f>IF(COUNTA($A172:$D172)=0,"",SWITCH(LOWER($D172),"buy",IFERROR(LOOKUP(2,1/($B$1:B171=B172),$O$1:O171),0)+$E172,"drip",IFERROR(LOOKUP(2,1/($B$1:B171=B172),$O$1:O171),0)+$E172,"sell",IFERROR(LOOKUP(2,1/($B$1:B171=B172),$O$1:O171),0)-$E172,"return_of_capital",IFERROR(LOOKUP(2,1/($B$1:B171=B172),$O$1:O171),0),"split",$E172,IFERROR(LOOKUP(2,1/($B$1:B171=B172),$O$1:O171),0)))</x:f>
      </x:c>
      <x:c r="P172" t="str">
        <x:f>IF(COUNTA($A172:$D172)=0,"",SWITCH(LOWER($D172),"buy",IFERROR(LOOKUP(2,1/($B$1:B171=B172),$P$1:P171),0)+$M172+$N172,"drip",IFERROR(LOOKUP(2,1/($B$1:B171=B172),$P$1:P171),0)+$M172+$N172,"sell",IFERROR(LOOKUP(2,1/($B$1:B171=B172),$P$1:P171),0)-IFERROR(IFERROR(LOOKUP(2,1/($B$1:B171=B172),$P$1:P171),0)/IFERROR(LOOKUP(2,1/($B$1:B171=B172),$O$1:O171),0)*$E172,0),"return_of_capital",IFERROR(LOOKUP(2,1/($B$1:B171=B172),$P$1:P171),0)-ABS($M172),"split",IFERROR(LOOKUP(2,1/($B$1:B171=B172),$P$1:P171),0),IFERROR(LOOKUP(2,1/($B$1:B171=B172),$P$1:P171),0)))</x:f>
      </x:c>
      <x:c r="Q172" t="str">
        <x:f>IFERROR($P172/$O172,"")</x:f>
      </x:c>
      <x:c r="R172" t="str">
        <x:f>IF(LOWER($D172)="sell",$M172-$N172-IFERROR(IFERROR(LOOKUP(2,1/($B$1:B171=B172),$P$1:P171),0)/IFERROR(LOOKUP(2,1/($B$1:B171=B172),$O$1:O171),0)*$E172,0),"")</x:f>
      </x:c>
      <x:c r="S172" t="str">
        <x:f>IF(COUNTA($A172:$D172)=0,"",IF($B172="","Missing symbol",IF($D172="","Missing action",IF(AND(LOWER($D172)="sell",$E172&gt;IFERROR(LOOKUP(2,1/($B$1:B171=B172),$O$1:O171),0)),"Sold more units than available","OK"))))</x:f>
      </x:c>
    </x:row>
    <x:row r="173">
      <x:c r="M173" t="str">
        <x:f>IF(COUNTA($A173:$D173)=0,"",IF($G173&lt;&gt;"",$G173,IF(AND($E173&lt;&gt;"",$F173&lt;&gt;""),$E173*$F173,""))*IF($J173&lt;&gt;"",$J173,1))</x:f>
      </x:c>
      <x:c r="N173" t="str">
        <x:f>IF(COUNTA($A173:$D173)=0,"",IF($H173&lt;&gt;"",$H173,0)*IF($J173&lt;&gt;"",$J173,1))</x:f>
      </x:c>
      <x:c r="O173" t="str">
        <x:f>IF(COUNTA($A173:$D173)=0,"",SWITCH(LOWER($D173),"buy",IFERROR(LOOKUP(2,1/($B$1:B172=B173),$O$1:O172),0)+$E173,"drip",IFERROR(LOOKUP(2,1/($B$1:B172=B173),$O$1:O172),0)+$E173,"sell",IFERROR(LOOKUP(2,1/($B$1:B172=B173),$O$1:O172),0)-$E173,"return_of_capital",IFERROR(LOOKUP(2,1/($B$1:B172=B173),$O$1:O172),0),"split",$E173,IFERROR(LOOKUP(2,1/($B$1:B172=B173),$O$1:O172),0)))</x:f>
      </x:c>
      <x:c r="P173" t="str">
        <x:f>IF(COUNTA($A173:$D173)=0,"",SWITCH(LOWER($D173),"buy",IFERROR(LOOKUP(2,1/($B$1:B172=B173),$P$1:P172),0)+$M173+$N173,"drip",IFERROR(LOOKUP(2,1/($B$1:B172=B173),$P$1:P172),0)+$M173+$N173,"sell",IFERROR(LOOKUP(2,1/($B$1:B172=B173),$P$1:P172),0)-IFERROR(IFERROR(LOOKUP(2,1/($B$1:B172=B173),$P$1:P172),0)/IFERROR(LOOKUP(2,1/($B$1:B172=B173),$O$1:O172),0)*$E173,0),"return_of_capital",IFERROR(LOOKUP(2,1/($B$1:B172=B173),$P$1:P172),0)-ABS($M173),"split",IFERROR(LOOKUP(2,1/($B$1:B172=B173),$P$1:P172),0),IFERROR(LOOKUP(2,1/($B$1:B172=B173),$P$1:P172),0)))</x:f>
      </x:c>
      <x:c r="Q173" t="str">
        <x:f>IFERROR($P173/$O173,"")</x:f>
      </x:c>
      <x:c r="R173" t="str">
        <x:f>IF(LOWER($D173)="sell",$M173-$N173-IFERROR(IFERROR(LOOKUP(2,1/($B$1:B172=B173),$P$1:P172),0)/IFERROR(LOOKUP(2,1/($B$1:B172=B173),$O$1:O172),0)*$E173,0),"")</x:f>
      </x:c>
      <x:c r="S173" t="str">
        <x:f>IF(COUNTA($A173:$D173)=0,"",IF($B173="","Missing symbol",IF($D173="","Missing action",IF(AND(LOWER($D173)="sell",$E173&gt;IFERROR(LOOKUP(2,1/($B$1:B172=B173),$O$1:O172),0)),"Sold more units than available","OK"))))</x:f>
      </x:c>
    </x:row>
    <x:row r="174">
      <x:c r="M174" t="str">
        <x:f>IF(COUNTA($A174:$D174)=0,"",IF($G174&lt;&gt;"",$G174,IF(AND($E174&lt;&gt;"",$F174&lt;&gt;""),$E174*$F174,""))*IF($J174&lt;&gt;"",$J174,1))</x:f>
      </x:c>
      <x:c r="N174" t="str">
        <x:f>IF(COUNTA($A174:$D174)=0,"",IF($H174&lt;&gt;"",$H174,0)*IF($J174&lt;&gt;"",$J174,1))</x:f>
      </x:c>
      <x:c r="O174" t="str">
        <x:f>IF(COUNTA($A174:$D174)=0,"",SWITCH(LOWER($D174),"buy",IFERROR(LOOKUP(2,1/($B$1:B173=B174),$O$1:O173),0)+$E174,"drip",IFERROR(LOOKUP(2,1/($B$1:B173=B174),$O$1:O173),0)+$E174,"sell",IFERROR(LOOKUP(2,1/($B$1:B173=B174),$O$1:O173),0)-$E174,"return_of_capital",IFERROR(LOOKUP(2,1/($B$1:B173=B174),$O$1:O173),0),"split",$E174,IFERROR(LOOKUP(2,1/($B$1:B173=B174),$O$1:O173),0)))</x:f>
      </x:c>
      <x:c r="P174" t="str">
        <x:f>IF(COUNTA($A174:$D174)=0,"",SWITCH(LOWER($D174),"buy",IFERROR(LOOKUP(2,1/($B$1:B173=B174),$P$1:P173),0)+$M174+$N174,"drip",IFERROR(LOOKUP(2,1/($B$1:B173=B174),$P$1:P173),0)+$M174+$N174,"sell",IFERROR(LOOKUP(2,1/($B$1:B173=B174),$P$1:P173),0)-IFERROR(IFERROR(LOOKUP(2,1/($B$1:B173=B174),$P$1:P173),0)/IFERROR(LOOKUP(2,1/($B$1:B173=B174),$O$1:O173),0)*$E174,0),"return_of_capital",IFERROR(LOOKUP(2,1/($B$1:B173=B174),$P$1:P173),0)-ABS($M174),"split",IFERROR(LOOKUP(2,1/($B$1:B173=B174),$P$1:P173),0),IFERROR(LOOKUP(2,1/($B$1:B173=B174),$P$1:P173),0)))</x:f>
      </x:c>
      <x:c r="Q174" t="str">
        <x:f>IFERROR($P174/$O174,"")</x:f>
      </x:c>
      <x:c r="R174" t="str">
        <x:f>IF(LOWER($D174)="sell",$M174-$N174-IFERROR(IFERROR(LOOKUP(2,1/($B$1:B173=B174),$P$1:P173),0)/IFERROR(LOOKUP(2,1/($B$1:B173=B174),$O$1:O173),0)*$E174,0),"")</x:f>
      </x:c>
      <x:c r="S174" t="str">
        <x:f>IF(COUNTA($A174:$D174)=0,"",IF($B174="","Missing symbol",IF($D174="","Missing action",IF(AND(LOWER($D174)="sell",$E174&gt;IFERROR(LOOKUP(2,1/($B$1:B173=B174),$O$1:O173),0)),"Sold more units than available","OK"))))</x:f>
      </x:c>
    </x:row>
    <x:row r="175">
      <x:c r="M175" t="str">
        <x:f>IF(COUNTA($A175:$D175)=0,"",IF($G175&lt;&gt;"",$G175,IF(AND($E175&lt;&gt;"",$F175&lt;&gt;""),$E175*$F175,""))*IF($J175&lt;&gt;"",$J175,1))</x:f>
      </x:c>
      <x:c r="N175" t="str">
        <x:f>IF(COUNTA($A175:$D175)=0,"",IF($H175&lt;&gt;"",$H175,0)*IF($J175&lt;&gt;"",$J175,1))</x:f>
      </x:c>
      <x:c r="O175" t="str">
        <x:f>IF(COUNTA($A175:$D175)=0,"",SWITCH(LOWER($D175),"buy",IFERROR(LOOKUP(2,1/($B$1:B174=B175),$O$1:O174),0)+$E175,"drip",IFERROR(LOOKUP(2,1/($B$1:B174=B175),$O$1:O174),0)+$E175,"sell",IFERROR(LOOKUP(2,1/($B$1:B174=B175),$O$1:O174),0)-$E175,"return_of_capital",IFERROR(LOOKUP(2,1/($B$1:B174=B175),$O$1:O174),0),"split",$E175,IFERROR(LOOKUP(2,1/($B$1:B174=B175),$O$1:O174),0)))</x:f>
      </x:c>
      <x:c r="P175" t="str">
        <x:f>IF(COUNTA($A175:$D175)=0,"",SWITCH(LOWER($D175),"buy",IFERROR(LOOKUP(2,1/($B$1:B174=B175),$P$1:P174),0)+$M175+$N175,"drip",IFERROR(LOOKUP(2,1/($B$1:B174=B175),$P$1:P174),0)+$M175+$N175,"sell",IFERROR(LOOKUP(2,1/($B$1:B174=B175),$P$1:P174),0)-IFERROR(IFERROR(LOOKUP(2,1/($B$1:B174=B175),$P$1:P174),0)/IFERROR(LOOKUP(2,1/($B$1:B174=B175),$O$1:O174),0)*$E175,0),"return_of_capital",IFERROR(LOOKUP(2,1/($B$1:B174=B175),$P$1:P174),0)-ABS($M175),"split",IFERROR(LOOKUP(2,1/($B$1:B174=B175),$P$1:P174),0),IFERROR(LOOKUP(2,1/($B$1:B174=B175),$P$1:P174),0)))</x:f>
      </x:c>
      <x:c r="Q175" t="str">
        <x:f>IFERROR($P175/$O175,"")</x:f>
      </x:c>
      <x:c r="R175" t="str">
        <x:f>IF(LOWER($D175)="sell",$M175-$N175-IFERROR(IFERROR(LOOKUP(2,1/($B$1:B174=B175),$P$1:P174),0)/IFERROR(LOOKUP(2,1/($B$1:B174=B175),$O$1:O174),0)*$E175,0),"")</x:f>
      </x:c>
      <x:c r="S175" t="str">
        <x:f>IF(COUNTA($A175:$D175)=0,"",IF($B175="","Missing symbol",IF($D175="","Missing action",IF(AND(LOWER($D175)="sell",$E175&gt;IFERROR(LOOKUP(2,1/($B$1:B174=B175),$O$1:O174),0)),"Sold more units than available","OK"))))</x:f>
      </x:c>
    </x:row>
    <x:row r="176">
      <x:c r="M176" t="str">
        <x:f>IF(COUNTA($A176:$D176)=0,"",IF($G176&lt;&gt;"",$G176,IF(AND($E176&lt;&gt;"",$F176&lt;&gt;""),$E176*$F176,""))*IF($J176&lt;&gt;"",$J176,1))</x:f>
      </x:c>
      <x:c r="N176" t="str">
        <x:f>IF(COUNTA($A176:$D176)=0,"",IF($H176&lt;&gt;"",$H176,0)*IF($J176&lt;&gt;"",$J176,1))</x:f>
      </x:c>
      <x:c r="O176" t="str">
        <x:f>IF(COUNTA($A176:$D176)=0,"",SWITCH(LOWER($D176),"buy",IFERROR(LOOKUP(2,1/($B$1:B175=B176),$O$1:O175),0)+$E176,"drip",IFERROR(LOOKUP(2,1/($B$1:B175=B176),$O$1:O175),0)+$E176,"sell",IFERROR(LOOKUP(2,1/($B$1:B175=B176),$O$1:O175),0)-$E176,"return_of_capital",IFERROR(LOOKUP(2,1/($B$1:B175=B176),$O$1:O175),0),"split",$E176,IFERROR(LOOKUP(2,1/($B$1:B175=B176),$O$1:O175),0)))</x:f>
      </x:c>
      <x:c r="P176" t="str">
        <x:f>IF(COUNTA($A176:$D176)=0,"",SWITCH(LOWER($D176),"buy",IFERROR(LOOKUP(2,1/($B$1:B175=B176),$P$1:P175),0)+$M176+$N176,"drip",IFERROR(LOOKUP(2,1/($B$1:B175=B176),$P$1:P175),0)+$M176+$N176,"sell",IFERROR(LOOKUP(2,1/($B$1:B175=B176),$P$1:P175),0)-IFERROR(IFERROR(LOOKUP(2,1/($B$1:B175=B176),$P$1:P175),0)/IFERROR(LOOKUP(2,1/($B$1:B175=B176),$O$1:O175),0)*$E176,0),"return_of_capital",IFERROR(LOOKUP(2,1/($B$1:B175=B176),$P$1:P175),0)-ABS($M176),"split",IFERROR(LOOKUP(2,1/($B$1:B175=B176),$P$1:P175),0),IFERROR(LOOKUP(2,1/($B$1:B175=B176),$P$1:P175),0)))</x:f>
      </x:c>
      <x:c r="Q176" t="str">
        <x:f>IFERROR($P176/$O176,"")</x:f>
      </x:c>
      <x:c r="R176" t="str">
        <x:f>IF(LOWER($D176)="sell",$M176-$N176-IFERROR(IFERROR(LOOKUP(2,1/($B$1:B175=B176),$P$1:P175),0)/IFERROR(LOOKUP(2,1/($B$1:B175=B176),$O$1:O175),0)*$E176,0),"")</x:f>
      </x:c>
      <x:c r="S176" t="str">
        <x:f>IF(COUNTA($A176:$D176)=0,"",IF($B176="","Missing symbol",IF($D176="","Missing action",IF(AND(LOWER($D176)="sell",$E176&gt;IFERROR(LOOKUP(2,1/($B$1:B175=B176),$O$1:O175),0)),"Sold more units than available","OK"))))</x:f>
      </x:c>
    </x:row>
    <x:row r="177">
      <x:c r="M177" t="str">
        <x:f>IF(COUNTA($A177:$D177)=0,"",IF($G177&lt;&gt;"",$G177,IF(AND($E177&lt;&gt;"",$F177&lt;&gt;""),$E177*$F177,""))*IF($J177&lt;&gt;"",$J177,1))</x:f>
      </x:c>
      <x:c r="N177" t="str">
        <x:f>IF(COUNTA($A177:$D177)=0,"",IF($H177&lt;&gt;"",$H177,0)*IF($J177&lt;&gt;"",$J177,1))</x:f>
      </x:c>
      <x:c r="O177" t="str">
        <x:f>IF(COUNTA($A177:$D177)=0,"",SWITCH(LOWER($D177),"buy",IFERROR(LOOKUP(2,1/($B$1:B176=B177),$O$1:O176),0)+$E177,"drip",IFERROR(LOOKUP(2,1/($B$1:B176=B177),$O$1:O176),0)+$E177,"sell",IFERROR(LOOKUP(2,1/($B$1:B176=B177),$O$1:O176),0)-$E177,"return_of_capital",IFERROR(LOOKUP(2,1/($B$1:B176=B177),$O$1:O176),0),"split",$E177,IFERROR(LOOKUP(2,1/($B$1:B176=B177),$O$1:O176),0)))</x:f>
      </x:c>
      <x:c r="P177" t="str">
        <x:f>IF(COUNTA($A177:$D177)=0,"",SWITCH(LOWER($D177),"buy",IFERROR(LOOKUP(2,1/($B$1:B176=B177),$P$1:P176),0)+$M177+$N177,"drip",IFERROR(LOOKUP(2,1/($B$1:B176=B177),$P$1:P176),0)+$M177+$N177,"sell",IFERROR(LOOKUP(2,1/($B$1:B176=B177),$P$1:P176),0)-IFERROR(IFERROR(LOOKUP(2,1/($B$1:B176=B177),$P$1:P176),0)/IFERROR(LOOKUP(2,1/($B$1:B176=B177),$O$1:O176),0)*$E177,0),"return_of_capital",IFERROR(LOOKUP(2,1/($B$1:B176=B177),$P$1:P176),0)-ABS($M177),"split",IFERROR(LOOKUP(2,1/($B$1:B176=B177),$P$1:P176),0),IFERROR(LOOKUP(2,1/($B$1:B176=B177),$P$1:P176),0)))</x:f>
      </x:c>
      <x:c r="Q177" t="str">
        <x:f>IFERROR($P177/$O177,"")</x:f>
      </x:c>
      <x:c r="R177" t="str">
        <x:f>IF(LOWER($D177)="sell",$M177-$N177-IFERROR(IFERROR(LOOKUP(2,1/($B$1:B176=B177),$P$1:P176),0)/IFERROR(LOOKUP(2,1/($B$1:B176=B177),$O$1:O176),0)*$E177,0),"")</x:f>
      </x:c>
      <x:c r="S177" t="str">
        <x:f>IF(COUNTA($A177:$D177)=0,"",IF($B177="","Missing symbol",IF($D177="","Missing action",IF(AND(LOWER($D177)="sell",$E177&gt;IFERROR(LOOKUP(2,1/($B$1:B176=B177),$O$1:O176),0)),"Sold more units than available","OK"))))</x:f>
      </x:c>
    </x:row>
    <x:row r="178">
      <x:c r="M178" t="str">
        <x:f>IF(COUNTA($A178:$D178)=0,"",IF($G178&lt;&gt;"",$G178,IF(AND($E178&lt;&gt;"",$F178&lt;&gt;""),$E178*$F178,""))*IF($J178&lt;&gt;"",$J178,1))</x:f>
      </x:c>
      <x:c r="N178" t="str">
        <x:f>IF(COUNTA($A178:$D178)=0,"",IF($H178&lt;&gt;"",$H178,0)*IF($J178&lt;&gt;"",$J178,1))</x:f>
      </x:c>
      <x:c r="O178" t="str">
        <x:f>IF(COUNTA($A178:$D178)=0,"",SWITCH(LOWER($D178),"buy",IFERROR(LOOKUP(2,1/($B$1:B177=B178),$O$1:O177),0)+$E178,"drip",IFERROR(LOOKUP(2,1/($B$1:B177=B178),$O$1:O177),0)+$E178,"sell",IFERROR(LOOKUP(2,1/($B$1:B177=B178),$O$1:O177),0)-$E178,"return_of_capital",IFERROR(LOOKUP(2,1/($B$1:B177=B178),$O$1:O177),0),"split",$E178,IFERROR(LOOKUP(2,1/($B$1:B177=B178),$O$1:O177),0)))</x:f>
      </x:c>
      <x:c r="P178" t="str">
        <x:f>IF(COUNTA($A178:$D178)=0,"",SWITCH(LOWER($D178),"buy",IFERROR(LOOKUP(2,1/($B$1:B177=B178),$P$1:P177),0)+$M178+$N178,"drip",IFERROR(LOOKUP(2,1/($B$1:B177=B178),$P$1:P177),0)+$M178+$N178,"sell",IFERROR(LOOKUP(2,1/($B$1:B177=B178),$P$1:P177),0)-IFERROR(IFERROR(LOOKUP(2,1/($B$1:B177=B178),$P$1:P177),0)/IFERROR(LOOKUP(2,1/($B$1:B177=B178),$O$1:O177),0)*$E178,0),"return_of_capital",IFERROR(LOOKUP(2,1/($B$1:B177=B178),$P$1:P177),0)-ABS($M178),"split",IFERROR(LOOKUP(2,1/($B$1:B177=B178),$P$1:P177),0),IFERROR(LOOKUP(2,1/($B$1:B177=B178),$P$1:P177),0)))</x:f>
      </x:c>
      <x:c r="Q178" t="str">
        <x:f>IFERROR($P178/$O178,"")</x:f>
      </x:c>
      <x:c r="R178" t="str">
        <x:f>IF(LOWER($D178)="sell",$M178-$N178-IFERROR(IFERROR(LOOKUP(2,1/($B$1:B177=B178),$P$1:P177),0)/IFERROR(LOOKUP(2,1/($B$1:B177=B178),$O$1:O177),0)*$E178,0),"")</x:f>
      </x:c>
      <x:c r="S178" t="str">
        <x:f>IF(COUNTA($A178:$D178)=0,"",IF($B178="","Missing symbol",IF($D178="","Missing action",IF(AND(LOWER($D178)="sell",$E178&gt;IFERROR(LOOKUP(2,1/($B$1:B177=B178),$O$1:O177),0)),"Sold more units than available","OK"))))</x:f>
      </x:c>
    </x:row>
    <x:row r="179">
      <x:c r="M179" t="str">
        <x:f>IF(COUNTA($A179:$D179)=0,"",IF($G179&lt;&gt;"",$G179,IF(AND($E179&lt;&gt;"",$F179&lt;&gt;""),$E179*$F179,""))*IF($J179&lt;&gt;"",$J179,1))</x:f>
      </x:c>
      <x:c r="N179" t="str">
        <x:f>IF(COUNTA($A179:$D179)=0,"",IF($H179&lt;&gt;"",$H179,0)*IF($J179&lt;&gt;"",$J179,1))</x:f>
      </x:c>
      <x:c r="O179" t="str">
        <x:f>IF(COUNTA($A179:$D179)=0,"",SWITCH(LOWER($D179),"buy",IFERROR(LOOKUP(2,1/($B$1:B178=B179),$O$1:O178),0)+$E179,"drip",IFERROR(LOOKUP(2,1/($B$1:B178=B179),$O$1:O178),0)+$E179,"sell",IFERROR(LOOKUP(2,1/($B$1:B178=B179),$O$1:O178),0)-$E179,"return_of_capital",IFERROR(LOOKUP(2,1/($B$1:B178=B179),$O$1:O178),0),"split",$E179,IFERROR(LOOKUP(2,1/($B$1:B178=B179),$O$1:O178),0)))</x:f>
      </x:c>
      <x:c r="P179" t="str">
        <x:f>IF(COUNTA($A179:$D179)=0,"",SWITCH(LOWER($D179),"buy",IFERROR(LOOKUP(2,1/($B$1:B178=B179),$P$1:P178),0)+$M179+$N179,"drip",IFERROR(LOOKUP(2,1/($B$1:B178=B179),$P$1:P178),0)+$M179+$N179,"sell",IFERROR(LOOKUP(2,1/($B$1:B178=B179),$P$1:P178),0)-IFERROR(IFERROR(LOOKUP(2,1/($B$1:B178=B179),$P$1:P178),0)/IFERROR(LOOKUP(2,1/($B$1:B178=B179),$O$1:O178),0)*$E179,0),"return_of_capital",IFERROR(LOOKUP(2,1/($B$1:B178=B179),$P$1:P178),0)-ABS($M179),"split",IFERROR(LOOKUP(2,1/($B$1:B178=B179),$P$1:P178),0),IFERROR(LOOKUP(2,1/($B$1:B178=B179),$P$1:P178),0)))</x:f>
      </x:c>
      <x:c r="Q179" t="str">
        <x:f>IFERROR($P179/$O179,"")</x:f>
      </x:c>
      <x:c r="R179" t="str">
        <x:f>IF(LOWER($D179)="sell",$M179-$N179-IFERROR(IFERROR(LOOKUP(2,1/($B$1:B178=B179),$P$1:P178),0)/IFERROR(LOOKUP(2,1/($B$1:B178=B179),$O$1:O178),0)*$E179,0),"")</x:f>
      </x:c>
      <x:c r="S179" t="str">
        <x:f>IF(COUNTA($A179:$D179)=0,"",IF($B179="","Missing symbol",IF($D179="","Missing action",IF(AND(LOWER($D179)="sell",$E179&gt;IFERROR(LOOKUP(2,1/($B$1:B178=B179),$O$1:O178),0)),"Sold more units than available","OK"))))</x:f>
      </x:c>
    </x:row>
    <x:row r="180">
      <x:c r="M180" t="str">
        <x:f>IF(COUNTA($A180:$D180)=0,"",IF($G180&lt;&gt;"",$G180,IF(AND($E180&lt;&gt;"",$F180&lt;&gt;""),$E180*$F180,""))*IF($J180&lt;&gt;"",$J180,1))</x:f>
      </x:c>
      <x:c r="N180" t="str">
        <x:f>IF(COUNTA($A180:$D180)=0,"",IF($H180&lt;&gt;"",$H180,0)*IF($J180&lt;&gt;"",$J180,1))</x:f>
      </x:c>
      <x:c r="O180" t="str">
        <x:f>IF(COUNTA($A180:$D180)=0,"",SWITCH(LOWER($D180),"buy",IFERROR(LOOKUP(2,1/($B$1:B179=B180),$O$1:O179),0)+$E180,"drip",IFERROR(LOOKUP(2,1/($B$1:B179=B180),$O$1:O179),0)+$E180,"sell",IFERROR(LOOKUP(2,1/($B$1:B179=B180),$O$1:O179),0)-$E180,"return_of_capital",IFERROR(LOOKUP(2,1/($B$1:B179=B180),$O$1:O179),0),"split",$E180,IFERROR(LOOKUP(2,1/($B$1:B179=B180),$O$1:O179),0)))</x:f>
      </x:c>
      <x:c r="P180" t="str">
        <x:f>IF(COUNTA($A180:$D180)=0,"",SWITCH(LOWER($D180),"buy",IFERROR(LOOKUP(2,1/($B$1:B179=B180),$P$1:P179),0)+$M180+$N180,"drip",IFERROR(LOOKUP(2,1/($B$1:B179=B180),$P$1:P179),0)+$M180+$N180,"sell",IFERROR(LOOKUP(2,1/($B$1:B179=B180),$P$1:P179),0)-IFERROR(IFERROR(LOOKUP(2,1/($B$1:B179=B180),$P$1:P179),0)/IFERROR(LOOKUP(2,1/($B$1:B179=B180),$O$1:O179),0)*$E180,0),"return_of_capital",IFERROR(LOOKUP(2,1/($B$1:B179=B180),$P$1:P179),0)-ABS($M180),"split",IFERROR(LOOKUP(2,1/($B$1:B179=B180),$P$1:P179),0),IFERROR(LOOKUP(2,1/($B$1:B179=B180),$P$1:P179),0)))</x:f>
      </x:c>
      <x:c r="Q180" t="str">
        <x:f>IFERROR($P180/$O180,"")</x:f>
      </x:c>
      <x:c r="R180" t="str">
        <x:f>IF(LOWER($D180)="sell",$M180-$N180-IFERROR(IFERROR(LOOKUP(2,1/($B$1:B179=B180),$P$1:P179),0)/IFERROR(LOOKUP(2,1/($B$1:B179=B180),$O$1:O179),0)*$E180,0),"")</x:f>
      </x:c>
      <x:c r="S180" t="str">
        <x:f>IF(COUNTA($A180:$D180)=0,"",IF($B180="","Missing symbol",IF($D180="","Missing action",IF(AND(LOWER($D180)="sell",$E180&gt;IFERROR(LOOKUP(2,1/($B$1:B179=B180),$O$1:O179),0)),"Sold more units than available","OK"))))</x:f>
      </x:c>
    </x:row>
    <x:row r="181">
      <x:c r="M181" t="str">
        <x:f>IF(COUNTA($A181:$D181)=0,"",IF($G181&lt;&gt;"",$G181,IF(AND($E181&lt;&gt;"",$F181&lt;&gt;""),$E181*$F181,""))*IF($J181&lt;&gt;"",$J181,1))</x:f>
      </x:c>
      <x:c r="N181" t="str">
        <x:f>IF(COUNTA($A181:$D181)=0,"",IF($H181&lt;&gt;"",$H181,0)*IF($J181&lt;&gt;"",$J181,1))</x:f>
      </x:c>
      <x:c r="O181" t="str">
        <x:f>IF(COUNTA($A181:$D181)=0,"",SWITCH(LOWER($D181),"buy",IFERROR(LOOKUP(2,1/($B$1:B180=B181),$O$1:O180),0)+$E181,"drip",IFERROR(LOOKUP(2,1/($B$1:B180=B181),$O$1:O180),0)+$E181,"sell",IFERROR(LOOKUP(2,1/($B$1:B180=B181),$O$1:O180),0)-$E181,"return_of_capital",IFERROR(LOOKUP(2,1/($B$1:B180=B181),$O$1:O180),0),"split",$E181,IFERROR(LOOKUP(2,1/($B$1:B180=B181),$O$1:O180),0)))</x:f>
      </x:c>
      <x:c r="P181" t="str">
        <x:f>IF(COUNTA($A181:$D181)=0,"",SWITCH(LOWER($D181),"buy",IFERROR(LOOKUP(2,1/($B$1:B180=B181),$P$1:P180),0)+$M181+$N181,"drip",IFERROR(LOOKUP(2,1/($B$1:B180=B181),$P$1:P180),0)+$M181+$N181,"sell",IFERROR(LOOKUP(2,1/($B$1:B180=B181),$P$1:P180),0)-IFERROR(IFERROR(LOOKUP(2,1/($B$1:B180=B181),$P$1:P180),0)/IFERROR(LOOKUP(2,1/($B$1:B180=B181),$O$1:O180),0)*$E181,0),"return_of_capital",IFERROR(LOOKUP(2,1/($B$1:B180=B181),$P$1:P180),0)-ABS($M181),"split",IFERROR(LOOKUP(2,1/($B$1:B180=B181),$P$1:P180),0),IFERROR(LOOKUP(2,1/($B$1:B180=B181),$P$1:P180),0)))</x:f>
      </x:c>
      <x:c r="Q181" t="str">
        <x:f>IFERROR($P181/$O181,"")</x:f>
      </x:c>
      <x:c r="R181" t="str">
        <x:f>IF(LOWER($D181)="sell",$M181-$N181-IFERROR(IFERROR(LOOKUP(2,1/($B$1:B180=B181),$P$1:P180),0)/IFERROR(LOOKUP(2,1/($B$1:B180=B181),$O$1:O180),0)*$E181,0),"")</x:f>
      </x:c>
      <x:c r="S181" t="str">
        <x:f>IF(COUNTA($A181:$D181)=0,"",IF($B181="","Missing symbol",IF($D181="","Missing action",IF(AND(LOWER($D181)="sell",$E181&gt;IFERROR(LOOKUP(2,1/($B$1:B180=B181),$O$1:O180),0)),"Sold more units than available","OK"))))</x:f>
      </x:c>
    </x:row>
    <x:row r="182">
      <x:c r="M182" t="str">
        <x:f>IF(COUNTA($A182:$D182)=0,"",IF($G182&lt;&gt;"",$G182,IF(AND($E182&lt;&gt;"",$F182&lt;&gt;""),$E182*$F182,""))*IF($J182&lt;&gt;"",$J182,1))</x:f>
      </x:c>
      <x:c r="N182" t="str">
        <x:f>IF(COUNTA($A182:$D182)=0,"",IF($H182&lt;&gt;"",$H182,0)*IF($J182&lt;&gt;"",$J182,1))</x:f>
      </x:c>
      <x:c r="O182" t="str">
        <x:f>IF(COUNTA($A182:$D182)=0,"",SWITCH(LOWER($D182),"buy",IFERROR(LOOKUP(2,1/($B$1:B181=B182),$O$1:O181),0)+$E182,"drip",IFERROR(LOOKUP(2,1/($B$1:B181=B182),$O$1:O181),0)+$E182,"sell",IFERROR(LOOKUP(2,1/($B$1:B181=B182),$O$1:O181),0)-$E182,"return_of_capital",IFERROR(LOOKUP(2,1/($B$1:B181=B182),$O$1:O181),0),"split",$E182,IFERROR(LOOKUP(2,1/($B$1:B181=B182),$O$1:O181),0)))</x:f>
      </x:c>
      <x:c r="P182" t="str">
        <x:f>IF(COUNTA($A182:$D182)=0,"",SWITCH(LOWER($D182),"buy",IFERROR(LOOKUP(2,1/($B$1:B181=B182),$P$1:P181),0)+$M182+$N182,"drip",IFERROR(LOOKUP(2,1/($B$1:B181=B182),$P$1:P181),0)+$M182+$N182,"sell",IFERROR(LOOKUP(2,1/($B$1:B181=B182),$P$1:P181),0)-IFERROR(IFERROR(LOOKUP(2,1/($B$1:B181=B182),$P$1:P181),0)/IFERROR(LOOKUP(2,1/($B$1:B181=B182),$O$1:O181),0)*$E182,0),"return_of_capital",IFERROR(LOOKUP(2,1/($B$1:B181=B182),$P$1:P181),0)-ABS($M182),"split",IFERROR(LOOKUP(2,1/($B$1:B181=B182),$P$1:P181),0),IFERROR(LOOKUP(2,1/($B$1:B181=B182),$P$1:P181),0)))</x:f>
      </x:c>
      <x:c r="Q182" t="str">
        <x:f>IFERROR($P182/$O182,"")</x:f>
      </x:c>
      <x:c r="R182" t="str">
        <x:f>IF(LOWER($D182)="sell",$M182-$N182-IFERROR(IFERROR(LOOKUP(2,1/($B$1:B181=B182),$P$1:P181),0)/IFERROR(LOOKUP(2,1/($B$1:B181=B182),$O$1:O181),0)*$E182,0),"")</x:f>
      </x:c>
      <x:c r="S182" t="str">
        <x:f>IF(COUNTA($A182:$D182)=0,"",IF($B182="","Missing symbol",IF($D182="","Missing action",IF(AND(LOWER($D182)="sell",$E182&gt;IFERROR(LOOKUP(2,1/($B$1:B181=B182),$O$1:O181),0)),"Sold more units than available","OK"))))</x:f>
      </x:c>
    </x:row>
    <x:row r="183">
      <x:c r="M183" t="str">
        <x:f>IF(COUNTA($A183:$D183)=0,"",IF($G183&lt;&gt;"",$G183,IF(AND($E183&lt;&gt;"",$F183&lt;&gt;""),$E183*$F183,""))*IF($J183&lt;&gt;"",$J183,1))</x:f>
      </x:c>
      <x:c r="N183" t="str">
        <x:f>IF(COUNTA($A183:$D183)=0,"",IF($H183&lt;&gt;"",$H183,0)*IF($J183&lt;&gt;"",$J183,1))</x:f>
      </x:c>
      <x:c r="O183" t="str">
        <x:f>IF(COUNTA($A183:$D183)=0,"",SWITCH(LOWER($D183),"buy",IFERROR(LOOKUP(2,1/($B$1:B182=B183),$O$1:O182),0)+$E183,"drip",IFERROR(LOOKUP(2,1/($B$1:B182=B183),$O$1:O182),0)+$E183,"sell",IFERROR(LOOKUP(2,1/($B$1:B182=B183),$O$1:O182),0)-$E183,"return_of_capital",IFERROR(LOOKUP(2,1/($B$1:B182=B183),$O$1:O182),0),"split",$E183,IFERROR(LOOKUP(2,1/($B$1:B182=B183),$O$1:O182),0)))</x:f>
      </x:c>
      <x:c r="P183" t="str">
        <x:f>IF(COUNTA($A183:$D183)=0,"",SWITCH(LOWER($D183),"buy",IFERROR(LOOKUP(2,1/($B$1:B182=B183),$P$1:P182),0)+$M183+$N183,"drip",IFERROR(LOOKUP(2,1/($B$1:B182=B183),$P$1:P182),0)+$M183+$N183,"sell",IFERROR(LOOKUP(2,1/($B$1:B182=B183),$P$1:P182),0)-IFERROR(IFERROR(LOOKUP(2,1/($B$1:B182=B183),$P$1:P182),0)/IFERROR(LOOKUP(2,1/($B$1:B182=B183),$O$1:O182),0)*$E183,0),"return_of_capital",IFERROR(LOOKUP(2,1/($B$1:B182=B183),$P$1:P182),0)-ABS($M183),"split",IFERROR(LOOKUP(2,1/($B$1:B182=B183),$P$1:P182),0),IFERROR(LOOKUP(2,1/($B$1:B182=B183),$P$1:P182),0)))</x:f>
      </x:c>
      <x:c r="Q183" t="str">
        <x:f>IFERROR($P183/$O183,"")</x:f>
      </x:c>
      <x:c r="R183" t="str">
        <x:f>IF(LOWER($D183)="sell",$M183-$N183-IFERROR(IFERROR(LOOKUP(2,1/($B$1:B182=B183),$P$1:P182),0)/IFERROR(LOOKUP(2,1/($B$1:B182=B183),$O$1:O182),0)*$E183,0),"")</x:f>
      </x:c>
      <x:c r="S183" t="str">
        <x:f>IF(COUNTA($A183:$D183)=0,"",IF($B183="","Missing symbol",IF($D183="","Missing action",IF(AND(LOWER($D183)="sell",$E183&gt;IFERROR(LOOKUP(2,1/($B$1:B182=B183),$O$1:O182),0)),"Sold more units than available","OK"))))</x:f>
      </x:c>
    </x:row>
    <x:row r="184">
      <x:c r="M184" t="str">
        <x:f>IF(COUNTA($A184:$D184)=0,"",IF($G184&lt;&gt;"",$G184,IF(AND($E184&lt;&gt;"",$F184&lt;&gt;""),$E184*$F184,""))*IF($J184&lt;&gt;"",$J184,1))</x:f>
      </x:c>
      <x:c r="N184" t="str">
        <x:f>IF(COUNTA($A184:$D184)=0,"",IF($H184&lt;&gt;"",$H184,0)*IF($J184&lt;&gt;"",$J184,1))</x:f>
      </x:c>
      <x:c r="O184" t="str">
        <x:f>IF(COUNTA($A184:$D184)=0,"",SWITCH(LOWER($D184),"buy",IFERROR(LOOKUP(2,1/($B$1:B183=B184),$O$1:O183),0)+$E184,"drip",IFERROR(LOOKUP(2,1/($B$1:B183=B184),$O$1:O183),0)+$E184,"sell",IFERROR(LOOKUP(2,1/($B$1:B183=B184),$O$1:O183),0)-$E184,"return_of_capital",IFERROR(LOOKUP(2,1/($B$1:B183=B184),$O$1:O183),0),"split",$E184,IFERROR(LOOKUP(2,1/($B$1:B183=B184),$O$1:O183),0)))</x:f>
      </x:c>
      <x:c r="P184" t="str">
        <x:f>IF(COUNTA($A184:$D184)=0,"",SWITCH(LOWER($D184),"buy",IFERROR(LOOKUP(2,1/($B$1:B183=B184),$P$1:P183),0)+$M184+$N184,"drip",IFERROR(LOOKUP(2,1/($B$1:B183=B184),$P$1:P183),0)+$M184+$N184,"sell",IFERROR(LOOKUP(2,1/($B$1:B183=B184),$P$1:P183),0)-IFERROR(IFERROR(LOOKUP(2,1/($B$1:B183=B184),$P$1:P183),0)/IFERROR(LOOKUP(2,1/($B$1:B183=B184),$O$1:O183),0)*$E184,0),"return_of_capital",IFERROR(LOOKUP(2,1/($B$1:B183=B184),$P$1:P183),0)-ABS($M184),"split",IFERROR(LOOKUP(2,1/($B$1:B183=B184),$P$1:P183),0),IFERROR(LOOKUP(2,1/($B$1:B183=B184),$P$1:P183),0)))</x:f>
      </x:c>
      <x:c r="Q184" t="str">
        <x:f>IFERROR($P184/$O184,"")</x:f>
      </x:c>
      <x:c r="R184" t="str">
        <x:f>IF(LOWER($D184)="sell",$M184-$N184-IFERROR(IFERROR(LOOKUP(2,1/($B$1:B183=B184),$P$1:P183),0)/IFERROR(LOOKUP(2,1/($B$1:B183=B184),$O$1:O183),0)*$E184,0),"")</x:f>
      </x:c>
      <x:c r="S184" t="str">
        <x:f>IF(COUNTA($A184:$D184)=0,"",IF($B184="","Missing symbol",IF($D184="","Missing action",IF(AND(LOWER($D184)="sell",$E184&gt;IFERROR(LOOKUP(2,1/($B$1:B183=B184),$O$1:O183),0)),"Sold more units than available","OK"))))</x:f>
      </x:c>
    </x:row>
    <x:row r="185">
      <x:c r="M185" t="str">
        <x:f>IF(COUNTA($A185:$D185)=0,"",IF($G185&lt;&gt;"",$G185,IF(AND($E185&lt;&gt;"",$F185&lt;&gt;""),$E185*$F185,""))*IF($J185&lt;&gt;"",$J185,1))</x:f>
      </x:c>
      <x:c r="N185" t="str">
        <x:f>IF(COUNTA($A185:$D185)=0,"",IF($H185&lt;&gt;"",$H185,0)*IF($J185&lt;&gt;"",$J185,1))</x:f>
      </x:c>
      <x:c r="O185" t="str">
        <x:f>IF(COUNTA($A185:$D185)=0,"",SWITCH(LOWER($D185),"buy",IFERROR(LOOKUP(2,1/($B$1:B184=B185),$O$1:O184),0)+$E185,"drip",IFERROR(LOOKUP(2,1/($B$1:B184=B185),$O$1:O184),0)+$E185,"sell",IFERROR(LOOKUP(2,1/($B$1:B184=B185),$O$1:O184),0)-$E185,"return_of_capital",IFERROR(LOOKUP(2,1/($B$1:B184=B185),$O$1:O184),0),"split",$E185,IFERROR(LOOKUP(2,1/($B$1:B184=B185),$O$1:O184),0)))</x:f>
      </x:c>
      <x:c r="P185" t="str">
        <x:f>IF(COUNTA($A185:$D185)=0,"",SWITCH(LOWER($D185),"buy",IFERROR(LOOKUP(2,1/($B$1:B184=B185),$P$1:P184),0)+$M185+$N185,"drip",IFERROR(LOOKUP(2,1/($B$1:B184=B185),$P$1:P184),0)+$M185+$N185,"sell",IFERROR(LOOKUP(2,1/($B$1:B184=B185),$P$1:P184),0)-IFERROR(IFERROR(LOOKUP(2,1/($B$1:B184=B185),$P$1:P184),0)/IFERROR(LOOKUP(2,1/($B$1:B184=B185),$O$1:O184),0)*$E185,0),"return_of_capital",IFERROR(LOOKUP(2,1/($B$1:B184=B185),$P$1:P184),0)-ABS($M185),"split",IFERROR(LOOKUP(2,1/($B$1:B184=B185),$P$1:P184),0),IFERROR(LOOKUP(2,1/($B$1:B184=B185),$P$1:P184),0)))</x:f>
      </x:c>
      <x:c r="Q185" t="str">
        <x:f>IFERROR($P185/$O185,"")</x:f>
      </x:c>
      <x:c r="R185" t="str">
        <x:f>IF(LOWER($D185)="sell",$M185-$N185-IFERROR(IFERROR(LOOKUP(2,1/($B$1:B184=B185),$P$1:P184),0)/IFERROR(LOOKUP(2,1/($B$1:B184=B185),$O$1:O184),0)*$E185,0),"")</x:f>
      </x:c>
      <x:c r="S185" t="str">
        <x:f>IF(COUNTA($A185:$D185)=0,"",IF($B185="","Missing symbol",IF($D185="","Missing action",IF(AND(LOWER($D185)="sell",$E185&gt;IFERROR(LOOKUP(2,1/($B$1:B184=B185),$O$1:O184),0)),"Sold more units than available","OK"))))</x:f>
      </x:c>
    </x:row>
    <x:row r="186">
      <x:c r="M186" t="str">
        <x:f>IF(COUNTA($A186:$D186)=0,"",IF($G186&lt;&gt;"",$G186,IF(AND($E186&lt;&gt;"",$F186&lt;&gt;""),$E186*$F186,""))*IF($J186&lt;&gt;"",$J186,1))</x:f>
      </x:c>
      <x:c r="N186" t="str">
        <x:f>IF(COUNTA($A186:$D186)=0,"",IF($H186&lt;&gt;"",$H186,0)*IF($J186&lt;&gt;"",$J186,1))</x:f>
      </x:c>
      <x:c r="O186" t="str">
        <x:f>IF(COUNTA($A186:$D186)=0,"",SWITCH(LOWER($D186),"buy",IFERROR(LOOKUP(2,1/($B$1:B185=B186),$O$1:O185),0)+$E186,"drip",IFERROR(LOOKUP(2,1/($B$1:B185=B186),$O$1:O185),0)+$E186,"sell",IFERROR(LOOKUP(2,1/($B$1:B185=B186),$O$1:O185),0)-$E186,"return_of_capital",IFERROR(LOOKUP(2,1/($B$1:B185=B186),$O$1:O185),0),"split",$E186,IFERROR(LOOKUP(2,1/($B$1:B185=B186),$O$1:O185),0)))</x:f>
      </x:c>
      <x:c r="P186" t="str">
        <x:f>IF(COUNTA($A186:$D186)=0,"",SWITCH(LOWER($D186),"buy",IFERROR(LOOKUP(2,1/($B$1:B185=B186),$P$1:P185),0)+$M186+$N186,"drip",IFERROR(LOOKUP(2,1/($B$1:B185=B186),$P$1:P185),0)+$M186+$N186,"sell",IFERROR(LOOKUP(2,1/($B$1:B185=B186),$P$1:P185),0)-IFERROR(IFERROR(LOOKUP(2,1/($B$1:B185=B186),$P$1:P185),0)/IFERROR(LOOKUP(2,1/($B$1:B185=B186),$O$1:O185),0)*$E186,0),"return_of_capital",IFERROR(LOOKUP(2,1/($B$1:B185=B186),$P$1:P185),0)-ABS($M186),"split",IFERROR(LOOKUP(2,1/($B$1:B185=B186),$P$1:P185),0),IFERROR(LOOKUP(2,1/($B$1:B185=B186),$P$1:P185),0)))</x:f>
      </x:c>
      <x:c r="Q186" t="str">
        <x:f>IFERROR($P186/$O186,"")</x:f>
      </x:c>
      <x:c r="R186" t="str">
        <x:f>IF(LOWER($D186)="sell",$M186-$N186-IFERROR(IFERROR(LOOKUP(2,1/($B$1:B185=B186),$P$1:P185),0)/IFERROR(LOOKUP(2,1/($B$1:B185=B186),$O$1:O185),0)*$E186,0),"")</x:f>
      </x:c>
      <x:c r="S186" t="str">
        <x:f>IF(COUNTA($A186:$D186)=0,"",IF($B186="","Missing symbol",IF($D186="","Missing action",IF(AND(LOWER($D186)="sell",$E186&gt;IFERROR(LOOKUP(2,1/($B$1:B185=B186),$O$1:O185),0)),"Sold more units than available","OK"))))</x:f>
      </x:c>
    </x:row>
    <x:row r="187">
      <x:c r="M187" t="str">
        <x:f>IF(COUNTA($A187:$D187)=0,"",IF($G187&lt;&gt;"",$G187,IF(AND($E187&lt;&gt;"",$F187&lt;&gt;""),$E187*$F187,""))*IF($J187&lt;&gt;"",$J187,1))</x:f>
      </x:c>
      <x:c r="N187" t="str">
        <x:f>IF(COUNTA($A187:$D187)=0,"",IF($H187&lt;&gt;"",$H187,0)*IF($J187&lt;&gt;"",$J187,1))</x:f>
      </x:c>
      <x:c r="O187" t="str">
        <x:f>IF(COUNTA($A187:$D187)=0,"",SWITCH(LOWER($D187),"buy",IFERROR(LOOKUP(2,1/($B$1:B186=B187),$O$1:O186),0)+$E187,"drip",IFERROR(LOOKUP(2,1/($B$1:B186=B187),$O$1:O186),0)+$E187,"sell",IFERROR(LOOKUP(2,1/($B$1:B186=B187),$O$1:O186),0)-$E187,"return_of_capital",IFERROR(LOOKUP(2,1/($B$1:B186=B187),$O$1:O186),0),"split",$E187,IFERROR(LOOKUP(2,1/($B$1:B186=B187),$O$1:O186),0)))</x:f>
      </x:c>
      <x:c r="P187" t="str">
        <x:f>IF(COUNTA($A187:$D187)=0,"",SWITCH(LOWER($D187),"buy",IFERROR(LOOKUP(2,1/($B$1:B186=B187),$P$1:P186),0)+$M187+$N187,"drip",IFERROR(LOOKUP(2,1/($B$1:B186=B187),$P$1:P186),0)+$M187+$N187,"sell",IFERROR(LOOKUP(2,1/($B$1:B186=B187),$P$1:P186),0)-IFERROR(IFERROR(LOOKUP(2,1/($B$1:B186=B187),$P$1:P186),0)/IFERROR(LOOKUP(2,1/($B$1:B186=B187),$O$1:O186),0)*$E187,0),"return_of_capital",IFERROR(LOOKUP(2,1/($B$1:B186=B187),$P$1:P186),0)-ABS($M187),"split",IFERROR(LOOKUP(2,1/($B$1:B186=B187),$P$1:P186),0),IFERROR(LOOKUP(2,1/($B$1:B186=B187),$P$1:P186),0)))</x:f>
      </x:c>
      <x:c r="Q187" t="str">
        <x:f>IFERROR($P187/$O187,"")</x:f>
      </x:c>
      <x:c r="R187" t="str">
        <x:f>IF(LOWER($D187)="sell",$M187-$N187-IFERROR(IFERROR(LOOKUP(2,1/($B$1:B186=B187),$P$1:P186),0)/IFERROR(LOOKUP(2,1/($B$1:B186=B187),$O$1:O186),0)*$E187,0),"")</x:f>
      </x:c>
      <x:c r="S187" t="str">
        <x:f>IF(COUNTA($A187:$D187)=0,"",IF($B187="","Missing symbol",IF($D187="","Missing action",IF(AND(LOWER($D187)="sell",$E187&gt;IFERROR(LOOKUP(2,1/($B$1:B186=B187),$O$1:O186),0)),"Sold more units than available","OK"))))</x:f>
      </x:c>
    </x:row>
    <x:row r="188">
      <x:c r="M188" t="str">
        <x:f>IF(COUNTA($A188:$D188)=0,"",IF($G188&lt;&gt;"",$G188,IF(AND($E188&lt;&gt;"",$F188&lt;&gt;""),$E188*$F188,""))*IF($J188&lt;&gt;"",$J188,1))</x:f>
      </x:c>
      <x:c r="N188" t="str">
        <x:f>IF(COUNTA($A188:$D188)=0,"",IF($H188&lt;&gt;"",$H188,0)*IF($J188&lt;&gt;"",$J188,1))</x:f>
      </x:c>
      <x:c r="O188" t="str">
        <x:f>IF(COUNTA($A188:$D188)=0,"",SWITCH(LOWER($D188),"buy",IFERROR(LOOKUP(2,1/($B$1:B187=B188),$O$1:O187),0)+$E188,"drip",IFERROR(LOOKUP(2,1/($B$1:B187=B188),$O$1:O187),0)+$E188,"sell",IFERROR(LOOKUP(2,1/($B$1:B187=B188),$O$1:O187),0)-$E188,"return_of_capital",IFERROR(LOOKUP(2,1/($B$1:B187=B188),$O$1:O187),0),"split",$E188,IFERROR(LOOKUP(2,1/($B$1:B187=B188),$O$1:O187),0)))</x:f>
      </x:c>
      <x:c r="P188" t="str">
        <x:f>IF(COUNTA($A188:$D188)=0,"",SWITCH(LOWER($D188),"buy",IFERROR(LOOKUP(2,1/($B$1:B187=B188),$P$1:P187),0)+$M188+$N188,"drip",IFERROR(LOOKUP(2,1/($B$1:B187=B188),$P$1:P187),0)+$M188+$N188,"sell",IFERROR(LOOKUP(2,1/($B$1:B187=B188),$P$1:P187),0)-IFERROR(IFERROR(LOOKUP(2,1/($B$1:B187=B188),$P$1:P187),0)/IFERROR(LOOKUP(2,1/($B$1:B187=B188),$O$1:O187),0)*$E188,0),"return_of_capital",IFERROR(LOOKUP(2,1/($B$1:B187=B188),$P$1:P187),0)-ABS($M188),"split",IFERROR(LOOKUP(2,1/($B$1:B187=B188),$P$1:P187),0),IFERROR(LOOKUP(2,1/($B$1:B187=B188),$P$1:P187),0)))</x:f>
      </x:c>
      <x:c r="Q188" t="str">
        <x:f>IFERROR($P188/$O188,"")</x:f>
      </x:c>
      <x:c r="R188" t="str">
        <x:f>IF(LOWER($D188)="sell",$M188-$N188-IFERROR(IFERROR(LOOKUP(2,1/($B$1:B187=B188),$P$1:P187),0)/IFERROR(LOOKUP(2,1/($B$1:B187=B188),$O$1:O187),0)*$E188,0),"")</x:f>
      </x:c>
      <x:c r="S188" t="str">
        <x:f>IF(COUNTA($A188:$D188)=0,"",IF($B188="","Missing symbol",IF($D188="","Missing action",IF(AND(LOWER($D188)="sell",$E188&gt;IFERROR(LOOKUP(2,1/($B$1:B187=B188),$O$1:O187),0)),"Sold more units than available","OK"))))</x:f>
      </x:c>
    </x:row>
    <x:row r="189">
      <x:c r="M189" t="str">
        <x:f>IF(COUNTA($A189:$D189)=0,"",IF($G189&lt;&gt;"",$G189,IF(AND($E189&lt;&gt;"",$F189&lt;&gt;""),$E189*$F189,""))*IF($J189&lt;&gt;"",$J189,1))</x:f>
      </x:c>
      <x:c r="N189" t="str">
        <x:f>IF(COUNTA($A189:$D189)=0,"",IF($H189&lt;&gt;"",$H189,0)*IF($J189&lt;&gt;"",$J189,1))</x:f>
      </x:c>
      <x:c r="O189" t="str">
        <x:f>IF(COUNTA($A189:$D189)=0,"",SWITCH(LOWER($D189),"buy",IFERROR(LOOKUP(2,1/($B$1:B188=B189),$O$1:O188),0)+$E189,"drip",IFERROR(LOOKUP(2,1/($B$1:B188=B189),$O$1:O188),0)+$E189,"sell",IFERROR(LOOKUP(2,1/($B$1:B188=B189),$O$1:O188),0)-$E189,"return_of_capital",IFERROR(LOOKUP(2,1/($B$1:B188=B189),$O$1:O188),0),"split",$E189,IFERROR(LOOKUP(2,1/($B$1:B188=B189),$O$1:O188),0)))</x:f>
      </x:c>
      <x:c r="P189" t="str">
        <x:f>IF(COUNTA($A189:$D189)=0,"",SWITCH(LOWER($D189),"buy",IFERROR(LOOKUP(2,1/($B$1:B188=B189),$P$1:P188),0)+$M189+$N189,"drip",IFERROR(LOOKUP(2,1/($B$1:B188=B189),$P$1:P188),0)+$M189+$N189,"sell",IFERROR(LOOKUP(2,1/($B$1:B188=B189),$P$1:P188),0)-IFERROR(IFERROR(LOOKUP(2,1/($B$1:B188=B189),$P$1:P188),0)/IFERROR(LOOKUP(2,1/($B$1:B188=B189),$O$1:O188),0)*$E189,0),"return_of_capital",IFERROR(LOOKUP(2,1/($B$1:B188=B189),$P$1:P188),0)-ABS($M189),"split",IFERROR(LOOKUP(2,1/($B$1:B188=B189),$P$1:P188),0),IFERROR(LOOKUP(2,1/($B$1:B188=B189),$P$1:P188),0)))</x:f>
      </x:c>
      <x:c r="Q189" t="str">
        <x:f>IFERROR($P189/$O189,"")</x:f>
      </x:c>
      <x:c r="R189" t="str">
        <x:f>IF(LOWER($D189)="sell",$M189-$N189-IFERROR(IFERROR(LOOKUP(2,1/($B$1:B188=B189),$P$1:P188),0)/IFERROR(LOOKUP(2,1/($B$1:B188=B189),$O$1:O188),0)*$E189,0),"")</x:f>
      </x:c>
      <x:c r="S189" t="str">
        <x:f>IF(COUNTA($A189:$D189)=0,"",IF($B189="","Missing symbol",IF($D189="","Missing action",IF(AND(LOWER($D189)="sell",$E189&gt;IFERROR(LOOKUP(2,1/($B$1:B188=B189),$O$1:O188),0)),"Sold more units than available","OK"))))</x:f>
      </x:c>
    </x:row>
    <x:row r="190">
      <x:c r="M190" t="str">
        <x:f>IF(COUNTA($A190:$D190)=0,"",IF($G190&lt;&gt;"",$G190,IF(AND($E190&lt;&gt;"",$F190&lt;&gt;""),$E190*$F190,""))*IF($J190&lt;&gt;"",$J190,1))</x:f>
      </x:c>
      <x:c r="N190" t="str">
        <x:f>IF(COUNTA($A190:$D190)=0,"",IF($H190&lt;&gt;"",$H190,0)*IF($J190&lt;&gt;"",$J190,1))</x:f>
      </x:c>
      <x:c r="O190" t="str">
        <x:f>IF(COUNTA($A190:$D190)=0,"",SWITCH(LOWER($D190),"buy",IFERROR(LOOKUP(2,1/($B$1:B189=B190),$O$1:O189),0)+$E190,"drip",IFERROR(LOOKUP(2,1/($B$1:B189=B190),$O$1:O189),0)+$E190,"sell",IFERROR(LOOKUP(2,1/($B$1:B189=B190),$O$1:O189),0)-$E190,"return_of_capital",IFERROR(LOOKUP(2,1/($B$1:B189=B190),$O$1:O189),0),"split",$E190,IFERROR(LOOKUP(2,1/($B$1:B189=B190),$O$1:O189),0)))</x:f>
      </x:c>
      <x:c r="P190" t="str">
        <x:f>IF(COUNTA($A190:$D190)=0,"",SWITCH(LOWER($D190),"buy",IFERROR(LOOKUP(2,1/($B$1:B189=B190),$P$1:P189),0)+$M190+$N190,"drip",IFERROR(LOOKUP(2,1/($B$1:B189=B190),$P$1:P189),0)+$M190+$N190,"sell",IFERROR(LOOKUP(2,1/($B$1:B189=B190),$P$1:P189),0)-IFERROR(IFERROR(LOOKUP(2,1/($B$1:B189=B190),$P$1:P189),0)/IFERROR(LOOKUP(2,1/($B$1:B189=B190),$O$1:O189),0)*$E190,0),"return_of_capital",IFERROR(LOOKUP(2,1/($B$1:B189=B190),$P$1:P189),0)-ABS($M190),"split",IFERROR(LOOKUP(2,1/($B$1:B189=B190),$P$1:P189),0),IFERROR(LOOKUP(2,1/($B$1:B189=B190),$P$1:P189),0)))</x:f>
      </x:c>
      <x:c r="Q190" t="str">
        <x:f>IFERROR($P190/$O190,"")</x:f>
      </x:c>
      <x:c r="R190" t="str">
        <x:f>IF(LOWER($D190)="sell",$M190-$N190-IFERROR(IFERROR(LOOKUP(2,1/($B$1:B189=B190),$P$1:P189),0)/IFERROR(LOOKUP(2,1/($B$1:B189=B190),$O$1:O189),0)*$E190,0),"")</x:f>
      </x:c>
      <x:c r="S190" t="str">
        <x:f>IF(COUNTA($A190:$D190)=0,"",IF($B190="","Missing symbol",IF($D190="","Missing action",IF(AND(LOWER($D190)="sell",$E190&gt;IFERROR(LOOKUP(2,1/($B$1:B189=B190),$O$1:O189),0)),"Sold more units than available","OK"))))</x:f>
      </x:c>
    </x:row>
    <x:row r="191">
      <x:c r="M191" t="str">
        <x:f>IF(COUNTA($A191:$D191)=0,"",IF($G191&lt;&gt;"",$G191,IF(AND($E191&lt;&gt;"",$F191&lt;&gt;""),$E191*$F191,""))*IF($J191&lt;&gt;"",$J191,1))</x:f>
      </x:c>
      <x:c r="N191" t="str">
        <x:f>IF(COUNTA($A191:$D191)=0,"",IF($H191&lt;&gt;"",$H191,0)*IF($J191&lt;&gt;"",$J191,1))</x:f>
      </x:c>
      <x:c r="O191" t="str">
        <x:f>IF(COUNTA($A191:$D191)=0,"",SWITCH(LOWER($D191),"buy",IFERROR(LOOKUP(2,1/($B$1:B190=B191),$O$1:O190),0)+$E191,"drip",IFERROR(LOOKUP(2,1/($B$1:B190=B191),$O$1:O190),0)+$E191,"sell",IFERROR(LOOKUP(2,1/($B$1:B190=B191),$O$1:O190),0)-$E191,"return_of_capital",IFERROR(LOOKUP(2,1/($B$1:B190=B191),$O$1:O190),0),"split",$E191,IFERROR(LOOKUP(2,1/($B$1:B190=B191),$O$1:O190),0)))</x:f>
      </x:c>
      <x:c r="P191" t="str">
        <x:f>IF(COUNTA($A191:$D191)=0,"",SWITCH(LOWER($D191),"buy",IFERROR(LOOKUP(2,1/($B$1:B190=B191),$P$1:P190),0)+$M191+$N191,"drip",IFERROR(LOOKUP(2,1/($B$1:B190=B191),$P$1:P190),0)+$M191+$N191,"sell",IFERROR(LOOKUP(2,1/($B$1:B190=B191),$P$1:P190),0)-IFERROR(IFERROR(LOOKUP(2,1/($B$1:B190=B191),$P$1:P190),0)/IFERROR(LOOKUP(2,1/($B$1:B190=B191),$O$1:O190),0)*$E191,0),"return_of_capital",IFERROR(LOOKUP(2,1/($B$1:B190=B191),$P$1:P190),0)-ABS($M191),"split",IFERROR(LOOKUP(2,1/($B$1:B190=B191),$P$1:P190),0),IFERROR(LOOKUP(2,1/($B$1:B190=B191),$P$1:P190),0)))</x:f>
      </x:c>
      <x:c r="Q191" t="str">
        <x:f>IFERROR($P191/$O191,"")</x:f>
      </x:c>
      <x:c r="R191" t="str">
        <x:f>IF(LOWER($D191)="sell",$M191-$N191-IFERROR(IFERROR(LOOKUP(2,1/($B$1:B190=B191),$P$1:P190),0)/IFERROR(LOOKUP(2,1/($B$1:B190=B191),$O$1:O190),0)*$E191,0),"")</x:f>
      </x:c>
      <x:c r="S191" t="str">
        <x:f>IF(COUNTA($A191:$D191)=0,"",IF($B191="","Missing symbol",IF($D191="","Missing action",IF(AND(LOWER($D191)="sell",$E191&gt;IFERROR(LOOKUP(2,1/($B$1:B190=B191),$O$1:O190),0)),"Sold more units than available","OK"))))</x:f>
      </x:c>
    </x:row>
    <x:row r="192">
      <x:c r="M192" t="str">
        <x:f>IF(COUNTA($A192:$D192)=0,"",IF($G192&lt;&gt;"",$G192,IF(AND($E192&lt;&gt;"",$F192&lt;&gt;""),$E192*$F192,""))*IF($J192&lt;&gt;"",$J192,1))</x:f>
      </x:c>
      <x:c r="N192" t="str">
        <x:f>IF(COUNTA($A192:$D192)=0,"",IF($H192&lt;&gt;"",$H192,0)*IF($J192&lt;&gt;"",$J192,1))</x:f>
      </x:c>
      <x:c r="O192" t="str">
        <x:f>IF(COUNTA($A192:$D192)=0,"",SWITCH(LOWER($D192),"buy",IFERROR(LOOKUP(2,1/($B$1:B191=B192),$O$1:O191),0)+$E192,"drip",IFERROR(LOOKUP(2,1/($B$1:B191=B192),$O$1:O191),0)+$E192,"sell",IFERROR(LOOKUP(2,1/($B$1:B191=B192),$O$1:O191),0)-$E192,"return_of_capital",IFERROR(LOOKUP(2,1/($B$1:B191=B192),$O$1:O191),0),"split",$E192,IFERROR(LOOKUP(2,1/($B$1:B191=B192),$O$1:O191),0)))</x:f>
      </x:c>
      <x:c r="P192" t="str">
        <x:f>IF(COUNTA($A192:$D192)=0,"",SWITCH(LOWER($D192),"buy",IFERROR(LOOKUP(2,1/($B$1:B191=B192),$P$1:P191),0)+$M192+$N192,"drip",IFERROR(LOOKUP(2,1/($B$1:B191=B192),$P$1:P191),0)+$M192+$N192,"sell",IFERROR(LOOKUP(2,1/($B$1:B191=B192),$P$1:P191),0)-IFERROR(IFERROR(LOOKUP(2,1/($B$1:B191=B192),$P$1:P191),0)/IFERROR(LOOKUP(2,1/($B$1:B191=B192),$O$1:O191),0)*$E192,0),"return_of_capital",IFERROR(LOOKUP(2,1/($B$1:B191=B192),$P$1:P191),0)-ABS($M192),"split",IFERROR(LOOKUP(2,1/($B$1:B191=B192),$P$1:P191),0),IFERROR(LOOKUP(2,1/($B$1:B191=B192),$P$1:P191),0)))</x:f>
      </x:c>
      <x:c r="Q192" t="str">
        <x:f>IFERROR($P192/$O192,"")</x:f>
      </x:c>
      <x:c r="R192" t="str">
        <x:f>IF(LOWER($D192)="sell",$M192-$N192-IFERROR(IFERROR(LOOKUP(2,1/($B$1:B191=B192),$P$1:P191),0)/IFERROR(LOOKUP(2,1/($B$1:B191=B192),$O$1:O191),0)*$E192,0),"")</x:f>
      </x:c>
      <x:c r="S192" t="str">
        <x:f>IF(COUNTA($A192:$D192)=0,"",IF($B192="","Missing symbol",IF($D192="","Missing action",IF(AND(LOWER($D192)="sell",$E192&gt;IFERROR(LOOKUP(2,1/($B$1:B191=B192),$O$1:O191),0)),"Sold more units than available","OK"))))</x:f>
      </x:c>
    </x:row>
    <x:row r="193">
      <x:c r="M193" t="str">
        <x:f>IF(COUNTA($A193:$D193)=0,"",IF($G193&lt;&gt;"",$G193,IF(AND($E193&lt;&gt;"",$F193&lt;&gt;""),$E193*$F193,""))*IF($J193&lt;&gt;"",$J193,1))</x:f>
      </x:c>
      <x:c r="N193" t="str">
        <x:f>IF(COUNTA($A193:$D193)=0,"",IF($H193&lt;&gt;"",$H193,0)*IF($J193&lt;&gt;"",$J193,1))</x:f>
      </x:c>
      <x:c r="O193" t="str">
        <x:f>IF(COUNTA($A193:$D193)=0,"",SWITCH(LOWER($D193),"buy",IFERROR(LOOKUP(2,1/($B$1:B192=B193),$O$1:O192),0)+$E193,"drip",IFERROR(LOOKUP(2,1/($B$1:B192=B193),$O$1:O192),0)+$E193,"sell",IFERROR(LOOKUP(2,1/($B$1:B192=B193),$O$1:O192),0)-$E193,"return_of_capital",IFERROR(LOOKUP(2,1/($B$1:B192=B193),$O$1:O192),0),"split",$E193,IFERROR(LOOKUP(2,1/($B$1:B192=B193),$O$1:O192),0)))</x:f>
      </x:c>
      <x:c r="P193" t="str">
        <x:f>IF(COUNTA($A193:$D193)=0,"",SWITCH(LOWER($D193),"buy",IFERROR(LOOKUP(2,1/($B$1:B192=B193),$P$1:P192),0)+$M193+$N193,"drip",IFERROR(LOOKUP(2,1/($B$1:B192=B193),$P$1:P192),0)+$M193+$N193,"sell",IFERROR(LOOKUP(2,1/($B$1:B192=B193),$P$1:P192),0)-IFERROR(IFERROR(LOOKUP(2,1/($B$1:B192=B193),$P$1:P192),0)/IFERROR(LOOKUP(2,1/($B$1:B192=B193),$O$1:O192),0)*$E193,0),"return_of_capital",IFERROR(LOOKUP(2,1/($B$1:B192=B193),$P$1:P192),0)-ABS($M193),"split",IFERROR(LOOKUP(2,1/($B$1:B192=B193),$P$1:P192),0),IFERROR(LOOKUP(2,1/($B$1:B192=B193),$P$1:P192),0)))</x:f>
      </x:c>
      <x:c r="Q193" t="str">
        <x:f>IFERROR($P193/$O193,"")</x:f>
      </x:c>
      <x:c r="R193" t="str">
        <x:f>IF(LOWER($D193)="sell",$M193-$N193-IFERROR(IFERROR(LOOKUP(2,1/($B$1:B192=B193),$P$1:P192),0)/IFERROR(LOOKUP(2,1/($B$1:B192=B193),$O$1:O192),0)*$E193,0),"")</x:f>
      </x:c>
      <x:c r="S193" t="str">
        <x:f>IF(COUNTA($A193:$D193)=0,"",IF($B193="","Missing symbol",IF($D193="","Missing action",IF(AND(LOWER($D193)="sell",$E193&gt;IFERROR(LOOKUP(2,1/($B$1:B192=B193),$O$1:O192),0)),"Sold more units than available","OK"))))</x:f>
      </x:c>
    </x:row>
    <x:row r="194">
      <x:c r="M194" t="str">
        <x:f>IF(COUNTA($A194:$D194)=0,"",IF($G194&lt;&gt;"",$G194,IF(AND($E194&lt;&gt;"",$F194&lt;&gt;""),$E194*$F194,""))*IF($J194&lt;&gt;"",$J194,1))</x:f>
      </x:c>
      <x:c r="N194" t="str">
        <x:f>IF(COUNTA($A194:$D194)=0,"",IF($H194&lt;&gt;"",$H194,0)*IF($J194&lt;&gt;"",$J194,1))</x:f>
      </x:c>
      <x:c r="O194" t="str">
        <x:f>IF(COUNTA($A194:$D194)=0,"",SWITCH(LOWER($D194),"buy",IFERROR(LOOKUP(2,1/($B$1:B193=B194),$O$1:O193),0)+$E194,"drip",IFERROR(LOOKUP(2,1/($B$1:B193=B194),$O$1:O193),0)+$E194,"sell",IFERROR(LOOKUP(2,1/($B$1:B193=B194),$O$1:O193),0)-$E194,"return_of_capital",IFERROR(LOOKUP(2,1/($B$1:B193=B194),$O$1:O193),0),"split",$E194,IFERROR(LOOKUP(2,1/($B$1:B193=B194),$O$1:O193),0)))</x:f>
      </x:c>
      <x:c r="P194" t="str">
        <x:f>IF(COUNTA($A194:$D194)=0,"",SWITCH(LOWER($D194),"buy",IFERROR(LOOKUP(2,1/($B$1:B193=B194),$P$1:P193),0)+$M194+$N194,"drip",IFERROR(LOOKUP(2,1/($B$1:B193=B194),$P$1:P193),0)+$M194+$N194,"sell",IFERROR(LOOKUP(2,1/($B$1:B193=B194),$P$1:P193),0)-IFERROR(IFERROR(LOOKUP(2,1/($B$1:B193=B194),$P$1:P193),0)/IFERROR(LOOKUP(2,1/($B$1:B193=B194),$O$1:O193),0)*$E194,0),"return_of_capital",IFERROR(LOOKUP(2,1/($B$1:B193=B194),$P$1:P193),0)-ABS($M194),"split",IFERROR(LOOKUP(2,1/($B$1:B193=B194),$P$1:P193),0),IFERROR(LOOKUP(2,1/($B$1:B193=B194),$P$1:P193),0)))</x:f>
      </x:c>
      <x:c r="Q194" t="str">
        <x:f>IFERROR($P194/$O194,"")</x:f>
      </x:c>
      <x:c r="R194" t="str">
        <x:f>IF(LOWER($D194)="sell",$M194-$N194-IFERROR(IFERROR(LOOKUP(2,1/($B$1:B193=B194),$P$1:P193),0)/IFERROR(LOOKUP(2,1/($B$1:B193=B194),$O$1:O193),0)*$E194,0),"")</x:f>
      </x:c>
      <x:c r="S194" t="str">
        <x:f>IF(COUNTA($A194:$D194)=0,"",IF($B194="","Missing symbol",IF($D194="","Missing action",IF(AND(LOWER($D194)="sell",$E194&gt;IFERROR(LOOKUP(2,1/($B$1:B193=B194),$O$1:O193),0)),"Sold more units than available","OK"))))</x:f>
      </x:c>
    </x:row>
    <x:row r="195">
      <x:c r="M195" t="str">
        <x:f>IF(COUNTA($A195:$D195)=0,"",IF($G195&lt;&gt;"",$G195,IF(AND($E195&lt;&gt;"",$F195&lt;&gt;""),$E195*$F195,""))*IF($J195&lt;&gt;"",$J195,1))</x:f>
      </x:c>
      <x:c r="N195" t="str">
        <x:f>IF(COUNTA($A195:$D195)=0,"",IF($H195&lt;&gt;"",$H195,0)*IF($J195&lt;&gt;"",$J195,1))</x:f>
      </x:c>
      <x:c r="O195" t="str">
        <x:f>IF(COUNTA($A195:$D195)=0,"",SWITCH(LOWER($D195),"buy",IFERROR(LOOKUP(2,1/($B$1:B194=B195),$O$1:O194),0)+$E195,"drip",IFERROR(LOOKUP(2,1/($B$1:B194=B195),$O$1:O194),0)+$E195,"sell",IFERROR(LOOKUP(2,1/($B$1:B194=B195),$O$1:O194),0)-$E195,"return_of_capital",IFERROR(LOOKUP(2,1/($B$1:B194=B195),$O$1:O194),0),"split",$E195,IFERROR(LOOKUP(2,1/($B$1:B194=B195),$O$1:O194),0)))</x:f>
      </x:c>
      <x:c r="P195" t="str">
        <x:f>IF(COUNTA($A195:$D195)=0,"",SWITCH(LOWER($D195),"buy",IFERROR(LOOKUP(2,1/($B$1:B194=B195),$P$1:P194),0)+$M195+$N195,"drip",IFERROR(LOOKUP(2,1/($B$1:B194=B195),$P$1:P194),0)+$M195+$N195,"sell",IFERROR(LOOKUP(2,1/($B$1:B194=B195),$P$1:P194),0)-IFERROR(IFERROR(LOOKUP(2,1/($B$1:B194=B195),$P$1:P194),0)/IFERROR(LOOKUP(2,1/($B$1:B194=B195),$O$1:O194),0)*$E195,0),"return_of_capital",IFERROR(LOOKUP(2,1/($B$1:B194=B195),$P$1:P194),0)-ABS($M195),"split",IFERROR(LOOKUP(2,1/($B$1:B194=B195),$P$1:P194),0),IFERROR(LOOKUP(2,1/($B$1:B194=B195),$P$1:P194),0)))</x:f>
      </x:c>
      <x:c r="Q195" t="str">
        <x:f>IFERROR($P195/$O195,"")</x:f>
      </x:c>
      <x:c r="R195" t="str">
        <x:f>IF(LOWER($D195)="sell",$M195-$N195-IFERROR(IFERROR(LOOKUP(2,1/($B$1:B194=B195),$P$1:P194),0)/IFERROR(LOOKUP(2,1/($B$1:B194=B195),$O$1:O194),0)*$E195,0),"")</x:f>
      </x:c>
      <x:c r="S195" t="str">
        <x:f>IF(COUNTA($A195:$D195)=0,"",IF($B195="","Missing symbol",IF($D195="","Missing action",IF(AND(LOWER($D195)="sell",$E195&gt;IFERROR(LOOKUP(2,1/($B$1:B194=B195),$O$1:O194),0)),"Sold more units than available","OK"))))</x:f>
      </x:c>
    </x:row>
    <x:row r="196">
      <x:c r="M196" t="str">
        <x:f>IF(COUNTA($A196:$D196)=0,"",IF($G196&lt;&gt;"",$G196,IF(AND($E196&lt;&gt;"",$F196&lt;&gt;""),$E196*$F196,""))*IF($J196&lt;&gt;"",$J196,1))</x:f>
      </x:c>
      <x:c r="N196" t="str">
        <x:f>IF(COUNTA($A196:$D196)=0,"",IF($H196&lt;&gt;"",$H196,0)*IF($J196&lt;&gt;"",$J196,1))</x:f>
      </x:c>
      <x:c r="O196" t="str">
        <x:f>IF(COUNTA($A196:$D196)=0,"",SWITCH(LOWER($D196),"buy",IFERROR(LOOKUP(2,1/($B$1:B195=B196),$O$1:O195),0)+$E196,"drip",IFERROR(LOOKUP(2,1/($B$1:B195=B196),$O$1:O195),0)+$E196,"sell",IFERROR(LOOKUP(2,1/($B$1:B195=B196),$O$1:O195),0)-$E196,"return_of_capital",IFERROR(LOOKUP(2,1/($B$1:B195=B196),$O$1:O195),0),"split",$E196,IFERROR(LOOKUP(2,1/($B$1:B195=B196),$O$1:O195),0)))</x:f>
      </x:c>
      <x:c r="P196" t="str">
        <x:f>IF(COUNTA($A196:$D196)=0,"",SWITCH(LOWER($D196),"buy",IFERROR(LOOKUP(2,1/($B$1:B195=B196),$P$1:P195),0)+$M196+$N196,"drip",IFERROR(LOOKUP(2,1/($B$1:B195=B196),$P$1:P195),0)+$M196+$N196,"sell",IFERROR(LOOKUP(2,1/($B$1:B195=B196),$P$1:P195),0)-IFERROR(IFERROR(LOOKUP(2,1/($B$1:B195=B196),$P$1:P195),0)/IFERROR(LOOKUP(2,1/($B$1:B195=B196),$O$1:O195),0)*$E196,0),"return_of_capital",IFERROR(LOOKUP(2,1/($B$1:B195=B196),$P$1:P195),0)-ABS($M196),"split",IFERROR(LOOKUP(2,1/($B$1:B195=B196),$P$1:P195),0),IFERROR(LOOKUP(2,1/($B$1:B195=B196),$P$1:P195),0)))</x:f>
      </x:c>
      <x:c r="Q196" t="str">
        <x:f>IFERROR($P196/$O196,"")</x:f>
      </x:c>
      <x:c r="R196" t="str">
        <x:f>IF(LOWER($D196)="sell",$M196-$N196-IFERROR(IFERROR(LOOKUP(2,1/($B$1:B195=B196),$P$1:P195),0)/IFERROR(LOOKUP(2,1/($B$1:B195=B196),$O$1:O195),0)*$E196,0),"")</x:f>
      </x:c>
      <x:c r="S196" t="str">
        <x:f>IF(COUNTA($A196:$D196)=0,"",IF($B196="","Missing symbol",IF($D196="","Missing action",IF(AND(LOWER($D196)="sell",$E196&gt;IFERROR(LOOKUP(2,1/($B$1:B195=B196),$O$1:O195),0)),"Sold more units than available","OK"))))</x:f>
      </x:c>
    </x:row>
    <x:row r="197">
      <x:c r="M197" t="str">
        <x:f>IF(COUNTA($A197:$D197)=0,"",IF($G197&lt;&gt;"",$G197,IF(AND($E197&lt;&gt;"",$F197&lt;&gt;""),$E197*$F197,""))*IF($J197&lt;&gt;"",$J197,1))</x:f>
      </x:c>
      <x:c r="N197" t="str">
        <x:f>IF(COUNTA($A197:$D197)=0,"",IF($H197&lt;&gt;"",$H197,0)*IF($J197&lt;&gt;"",$J197,1))</x:f>
      </x:c>
      <x:c r="O197" t="str">
        <x:f>IF(COUNTA($A197:$D197)=0,"",SWITCH(LOWER($D197),"buy",IFERROR(LOOKUP(2,1/($B$1:B196=B197),$O$1:O196),0)+$E197,"drip",IFERROR(LOOKUP(2,1/($B$1:B196=B197),$O$1:O196),0)+$E197,"sell",IFERROR(LOOKUP(2,1/($B$1:B196=B197),$O$1:O196),0)-$E197,"return_of_capital",IFERROR(LOOKUP(2,1/($B$1:B196=B197),$O$1:O196),0),"split",$E197,IFERROR(LOOKUP(2,1/($B$1:B196=B197),$O$1:O196),0)))</x:f>
      </x:c>
      <x:c r="P197" t="str">
        <x:f>IF(COUNTA($A197:$D197)=0,"",SWITCH(LOWER($D197),"buy",IFERROR(LOOKUP(2,1/($B$1:B196=B197),$P$1:P196),0)+$M197+$N197,"drip",IFERROR(LOOKUP(2,1/($B$1:B196=B197),$P$1:P196),0)+$M197+$N197,"sell",IFERROR(LOOKUP(2,1/($B$1:B196=B197),$P$1:P196),0)-IFERROR(IFERROR(LOOKUP(2,1/($B$1:B196=B197),$P$1:P196),0)/IFERROR(LOOKUP(2,1/($B$1:B196=B197),$O$1:O196),0)*$E197,0),"return_of_capital",IFERROR(LOOKUP(2,1/($B$1:B196=B197),$P$1:P196),0)-ABS($M197),"split",IFERROR(LOOKUP(2,1/($B$1:B196=B197),$P$1:P196),0),IFERROR(LOOKUP(2,1/($B$1:B196=B197),$P$1:P196),0)))</x:f>
      </x:c>
      <x:c r="Q197" t="str">
        <x:f>IFERROR($P197/$O197,"")</x:f>
      </x:c>
      <x:c r="R197" t="str">
        <x:f>IF(LOWER($D197)="sell",$M197-$N197-IFERROR(IFERROR(LOOKUP(2,1/($B$1:B196=B197),$P$1:P196),0)/IFERROR(LOOKUP(2,1/($B$1:B196=B197),$O$1:O196),0)*$E197,0),"")</x:f>
      </x:c>
      <x:c r="S197" t="str">
        <x:f>IF(COUNTA($A197:$D197)=0,"",IF($B197="","Missing symbol",IF($D197="","Missing action",IF(AND(LOWER($D197)="sell",$E197&gt;IFERROR(LOOKUP(2,1/($B$1:B196=B197),$O$1:O196),0)),"Sold more units than available","OK"))))</x:f>
      </x:c>
    </x:row>
    <x:row r="198">
      <x:c r="M198" t="str">
        <x:f>IF(COUNTA($A198:$D198)=0,"",IF($G198&lt;&gt;"",$G198,IF(AND($E198&lt;&gt;"",$F198&lt;&gt;""),$E198*$F198,""))*IF($J198&lt;&gt;"",$J198,1))</x:f>
      </x:c>
      <x:c r="N198" t="str">
        <x:f>IF(COUNTA($A198:$D198)=0,"",IF($H198&lt;&gt;"",$H198,0)*IF($J198&lt;&gt;"",$J198,1))</x:f>
      </x:c>
      <x:c r="O198" t="str">
        <x:f>IF(COUNTA($A198:$D198)=0,"",SWITCH(LOWER($D198),"buy",IFERROR(LOOKUP(2,1/($B$1:B197=B198),$O$1:O197),0)+$E198,"drip",IFERROR(LOOKUP(2,1/($B$1:B197=B198),$O$1:O197),0)+$E198,"sell",IFERROR(LOOKUP(2,1/($B$1:B197=B198),$O$1:O197),0)-$E198,"return_of_capital",IFERROR(LOOKUP(2,1/($B$1:B197=B198),$O$1:O197),0),"split",$E198,IFERROR(LOOKUP(2,1/($B$1:B197=B198),$O$1:O197),0)))</x:f>
      </x:c>
      <x:c r="P198" t="str">
        <x:f>IF(COUNTA($A198:$D198)=0,"",SWITCH(LOWER($D198),"buy",IFERROR(LOOKUP(2,1/($B$1:B197=B198),$P$1:P197),0)+$M198+$N198,"drip",IFERROR(LOOKUP(2,1/($B$1:B197=B198),$P$1:P197),0)+$M198+$N198,"sell",IFERROR(LOOKUP(2,1/($B$1:B197=B198),$P$1:P197),0)-IFERROR(IFERROR(LOOKUP(2,1/($B$1:B197=B198),$P$1:P197),0)/IFERROR(LOOKUP(2,1/($B$1:B197=B198),$O$1:O197),0)*$E198,0),"return_of_capital",IFERROR(LOOKUP(2,1/($B$1:B197=B198),$P$1:P197),0)-ABS($M198),"split",IFERROR(LOOKUP(2,1/($B$1:B197=B198),$P$1:P197),0),IFERROR(LOOKUP(2,1/($B$1:B197=B198),$P$1:P197),0)))</x:f>
      </x:c>
      <x:c r="Q198" t="str">
        <x:f>IFERROR($P198/$O198,"")</x:f>
      </x:c>
      <x:c r="R198" t="str">
        <x:f>IF(LOWER($D198)="sell",$M198-$N198-IFERROR(IFERROR(LOOKUP(2,1/($B$1:B197=B198),$P$1:P197),0)/IFERROR(LOOKUP(2,1/($B$1:B197=B198),$O$1:O197),0)*$E198,0),"")</x:f>
      </x:c>
      <x:c r="S198" t="str">
        <x:f>IF(COUNTA($A198:$D198)=0,"",IF($B198="","Missing symbol",IF($D198="","Missing action",IF(AND(LOWER($D198)="sell",$E198&gt;IFERROR(LOOKUP(2,1/($B$1:B197=B198),$O$1:O197),0)),"Sold more units than available","OK"))))</x:f>
      </x:c>
    </x:row>
    <x:row r="199">
      <x:c r="M199" t="str">
        <x:f>IF(COUNTA($A199:$D199)=0,"",IF($G199&lt;&gt;"",$G199,IF(AND($E199&lt;&gt;"",$F199&lt;&gt;""),$E199*$F199,""))*IF($J199&lt;&gt;"",$J199,1))</x:f>
      </x:c>
      <x:c r="N199" t="str">
        <x:f>IF(COUNTA($A199:$D199)=0,"",IF($H199&lt;&gt;"",$H199,0)*IF($J199&lt;&gt;"",$J199,1))</x:f>
      </x:c>
      <x:c r="O199" t="str">
        <x:f>IF(COUNTA($A199:$D199)=0,"",SWITCH(LOWER($D199),"buy",IFERROR(LOOKUP(2,1/($B$1:B198=B199),$O$1:O198),0)+$E199,"drip",IFERROR(LOOKUP(2,1/($B$1:B198=B199),$O$1:O198),0)+$E199,"sell",IFERROR(LOOKUP(2,1/($B$1:B198=B199),$O$1:O198),0)-$E199,"return_of_capital",IFERROR(LOOKUP(2,1/($B$1:B198=B199),$O$1:O198),0),"split",$E199,IFERROR(LOOKUP(2,1/($B$1:B198=B199),$O$1:O198),0)))</x:f>
      </x:c>
      <x:c r="P199" t="str">
        <x:f>IF(COUNTA($A199:$D199)=0,"",SWITCH(LOWER($D199),"buy",IFERROR(LOOKUP(2,1/($B$1:B198=B199),$P$1:P198),0)+$M199+$N199,"drip",IFERROR(LOOKUP(2,1/($B$1:B198=B199),$P$1:P198),0)+$M199+$N199,"sell",IFERROR(LOOKUP(2,1/($B$1:B198=B199),$P$1:P198),0)-IFERROR(IFERROR(LOOKUP(2,1/($B$1:B198=B199),$P$1:P198),0)/IFERROR(LOOKUP(2,1/($B$1:B198=B199),$O$1:O198),0)*$E199,0),"return_of_capital",IFERROR(LOOKUP(2,1/($B$1:B198=B199),$P$1:P198),0)-ABS($M199),"split",IFERROR(LOOKUP(2,1/($B$1:B198=B199),$P$1:P198),0),IFERROR(LOOKUP(2,1/($B$1:B198=B199),$P$1:P198),0)))</x:f>
      </x:c>
      <x:c r="Q199" t="str">
        <x:f>IFERROR($P199/$O199,"")</x:f>
      </x:c>
      <x:c r="R199" t="str">
        <x:f>IF(LOWER($D199)="sell",$M199-$N199-IFERROR(IFERROR(LOOKUP(2,1/($B$1:B198=B199),$P$1:P198),0)/IFERROR(LOOKUP(2,1/($B$1:B198=B199),$O$1:O198),0)*$E199,0),"")</x:f>
      </x:c>
      <x:c r="S199" t="str">
        <x:f>IF(COUNTA($A199:$D199)=0,"",IF($B199="","Missing symbol",IF($D199="","Missing action",IF(AND(LOWER($D199)="sell",$E199&gt;IFERROR(LOOKUP(2,1/($B$1:B198=B199),$O$1:O198),0)),"Sold more units than available","OK"))))</x:f>
      </x:c>
    </x:row>
    <x:row r="200">
      <x:c r="M200" t="str">
        <x:f>IF(COUNTA($A200:$D200)=0,"",IF($G200&lt;&gt;"",$G200,IF(AND($E200&lt;&gt;"",$F200&lt;&gt;""),$E200*$F200,""))*IF($J200&lt;&gt;"",$J200,1))</x:f>
      </x:c>
      <x:c r="N200" t="str">
        <x:f>IF(COUNTA($A200:$D200)=0,"",IF($H200&lt;&gt;"",$H200,0)*IF($J200&lt;&gt;"",$J200,1))</x:f>
      </x:c>
      <x:c r="O200" t="str">
        <x:f>IF(COUNTA($A200:$D200)=0,"",SWITCH(LOWER($D200),"buy",IFERROR(LOOKUP(2,1/($B$1:B199=B200),$O$1:O199),0)+$E200,"drip",IFERROR(LOOKUP(2,1/($B$1:B199=B200),$O$1:O199),0)+$E200,"sell",IFERROR(LOOKUP(2,1/($B$1:B199=B200),$O$1:O199),0)-$E200,"return_of_capital",IFERROR(LOOKUP(2,1/($B$1:B199=B200),$O$1:O199),0),"split",$E200,IFERROR(LOOKUP(2,1/($B$1:B199=B200),$O$1:O199),0)))</x:f>
      </x:c>
      <x:c r="P200" t="str">
        <x:f>IF(COUNTA($A200:$D200)=0,"",SWITCH(LOWER($D200),"buy",IFERROR(LOOKUP(2,1/($B$1:B199=B200),$P$1:P199),0)+$M200+$N200,"drip",IFERROR(LOOKUP(2,1/($B$1:B199=B200),$P$1:P199),0)+$M200+$N200,"sell",IFERROR(LOOKUP(2,1/($B$1:B199=B200),$P$1:P199),0)-IFERROR(IFERROR(LOOKUP(2,1/($B$1:B199=B200),$P$1:P199),0)/IFERROR(LOOKUP(2,1/($B$1:B199=B200),$O$1:O199),0)*$E200,0),"return_of_capital",IFERROR(LOOKUP(2,1/($B$1:B199=B200),$P$1:P199),0)-ABS($M200),"split",IFERROR(LOOKUP(2,1/($B$1:B199=B200),$P$1:P199),0),IFERROR(LOOKUP(2,1/($B$1:B199=B200),$P$1:P199),0)))</x:f>
      </x:c>
      <x:c r="Q200" t="str">
        <x:f>IFERROR($P200/$O200,"")</x:f>
      </x:c>
      <x:c r="R200" t="str">
        <x:f>IF(LOWER($D200)="sell",$M200-$N200-IFERROR(IFERROR(LOOKUP(2,1/($B$1:B199=B200),$P$1:P199),0)/IFERROR(LOOKUP(2,1/($B$1:B199=B200),$O$1:O199),0)*$E200,0),"")</x:f>
      </x:c>
      <x:c r="S200" t="str">
        <x:f>IF(COUNTA($A200:$D200)=0,"",IF($B200="","Missing symbol",IF($D200="","Missing action",IF(AND(LOWER($D200)="sell",$E200&gt;IFERROR(LOOKUP(2,1/($B$1:B199=B200),$O$1:O199),0)),"Sold more units than available","OK"))))</x:f>
      </x:c>
    </x:row>
    <x:row r="201">
      <x:c r="M201" t="str">
        <x:f>IF(COUNTA($A201:$D201)=0,"",IF($G201&lt;&gt;"",$G201,IF(AND($E201&lt;&gt;"",$F201&lt;&gt;""),$E201*$F201,""))*IF($J201&lt;&gt;"",$J201,1))</x:f>
      </x:c>
      <x:c r="N201" t="str">
        <x:f>IF(COUNTA($A201:$D201)=0,"",IF($H201&lt;&gt;"",$H201,0)*IF($J201&lt;&gt;"",$J201,1))</x:f>
      </x:c>
      <x:c r="O201" t="str">
        <x:f>IF(COUNTA($A201:$D201)=0,"",SWITCH(LOWER($D201),"buy",IFERROR(LOOKUP(2,1/($B$1:B200=B201),$O$1:O200),0)+$E201,"drip",IFERROR(LOOKUP(2,1/($B$1:B200=B201),$O$1:O200),0)+$E201,"sell",IFERROR(LOOKUP(2,1/($B$1:B200=B201),$O$1:O200),0)-$E201,"return_of_capital",IFERROR(LOOKUP(2,1/($B$1:B200=B201),$O$1:O200),0),"split",$E201,IFERROR(LOOKUP(2,1/($B$1:B200=B201),$O$1:O200),0)))</x:f>
      </x:c>
      <x:c r="P201" t="str">
        <x:f>IF(COUNTA($A201:$D201)=0,"",SWITCH(LOWER($D201),"buy",IFERROR(LOOKUP(2,1/($B$1:B200=B201),$P$1:P200),0)+$M201+$N201,"drip",IFERROR(LOOKUP(2,1/($B$1:B200=B201),$P$1:P200),0)+$M201+$N201,"sell",IFERROR(LOOKUP(2,1/($B$1:B200=B201),$P$1:P200),0)-IFERROR(IFERROR(LOOKUP(2,1/($B$1:B200=B201),$P$1:P200),0)/IFERROR(LOOKUP(2,1/($B$1:B200=B201),$O$1:O200),0)*$E201,0),"return_of_capital",IFERROR(LOOKUP(2,1/($B$1:B200=B201),$P$1:P200),0)-ABS($M201),"split",IFERROR(LOOKUP(2,1/($B$1:B200=B201),$P$1:P200),0),IFERROR(LOOKUP(2,1/($B$1:B200=B201),$P$1:P200),0)))</x:f>
      </x:c>
      <x:c r="Q201" t="str">
        <x:f>IFERROR($P201/$O201,"")</x:f>
      </x:c>
      <x:c r="R201" t="str">
        <x:f>IF(LOWER($D201)="sell",$M201-$N201-IFERROR(IFERROR(LOOKUP(2,1/($B$1:B200=B201),$P$1:P200),0)/IFERROR(LOOKUP(2,1/($B$1:B200=B201),$O$1:O200),0)*$E201,0),"")</x:f>
      </x:c>
      <x:c r="S201" t="str">
        <x:f>IF(COUNTA($A201:$D201)=0,"",IF($B201="","Missing symbol",IF($D201="","Missing action",IF(AND(LOWER($D201)="sell",$E201&gt;IFERROR(LOOKUP(2,1/($B$1:B200=B201),$O$1:O200),0)),"Sold more units than available","OK"))))</x:f>
      </x:c>
    </x:row>
    <x:row r="202">
      <x:c r="M202" t="str">
        <x:f>IF(COUNTA($A202:$D202)=0,"",IF($G202&lt;&gt;"",$G202,IF(AND($E202&lt;&gt;"",$F202&lt;&gt;""),$E202*$F202,""))*IF($J202&lt;&gt;"",$J202,1))</x:f>
      </x:c>
      <x:c r="N202" t="str">
        <x:f>IF(COUNTA($A202:$D202)=0,"",IF($H202&lt;&gt;"",$H202,0)*IF($J202&lt;&gt;"",$J202,1))</x:f>
      </x:c>
      <x:c r="O202" t="str">
        <x:f>IF(COUNTA($A202:$D202)=0,"",SWITCH(LOWER($D202),"buy",IFERROR(LOOKUP(2,1/($B$1:B201=B202),$O$1:O201),0)+$E202,"drip",IFERROR(LOOKUP(2,1/($B$1:B201=B202),$O$1:O201),0)+$E202,"sell",IFERROR(LOOKUP(2,1/($B$1:B201=B202),$O$1:O201),0)-$E202,"return_of_capital",IFERROR(LOOKUP(2,1/($B$1:B201=B202),$O$1:O201),0),"split",$E202,IFERROR(LOOKUP(2,1/($B$1:B201=B202),$O$1:O201),0)))</x:f>
      </x:c>
      <x:c r="P202" t="str">
        <x:f>IF(COUNTA($A202:$D202)=0,"",SWITCH(LOWER($D202),"buy",IFERROR(LOOKUP(2,1/($B$1:B201=B202),$P$1:P201),0)+$M202+$N202,"drip",IFERROR(LOOKUP(2,1/($B$1:B201=B202),$P$1:P201),0)+$M202+$N202,"sell",IFERROR(LOOKUP(2,1/($B$1:B201=B202),$P$1:P201),0)-IFERROR(IFERROR(LOOKUP(2,1/($B$1:B201=B202),$P$1:P201),0)/IFERROR(LOOKUP(2,1/($B$1:B201=B202),$O$1:O201),0)*$E202,0),"return_of_capital",IFERROR(LOOKUP(2,1/($B$1:B201=B202),$P$1:P201),0)-ABS($M202),"split",IFERROR(LOOKUP(2,1/($B$1:B201=B202),$P$1:P201),0),IFERROR(LOOKUP(2,1/($B$1:B201=B202),$P$1:P201),0)))</x:f>
      </x:c>
      <x:c r="Q202" t="str">
        <x:f>IFERROR($P202/$O202,"")</x:f>
      </x:c>
      <x:c r="R202" t="str">
        <x:f>IF(LOWER($D202)="sell",$M202-$N202-IFERROR(IFERROR(LOOKUP(2,1/($B$1:B201=B202),$P$1:P201),0)/IFERROR(LOOKUP(2,1/($B$1:B201=B202),$O$1:O201),0)*$E202,0),"")</x:f>
      </x:c>
      <x:c r="S202" t="str">
        <x:f>IF(COUNTA($A202:$D202)=0,"",IF($B202="","Missing symbol",IF($D202="","Missing action",IF(AND(LOWER($D202)="sell",$E202&gt;IFERROR(LOOKUP(2,1/($B$1:B201=B202),$O$1:O201),0)),"Sold more units than available","OK"))))</x:f>
      </x:c>
    </x:row>
    <x:row r="203">
      <x:c r="M203" t="str">
        <x:f>IF(COUNTA($A203:$D203)=0,"",IF($G203&lt;&gt;"",$G203,IF(AND($E203&lt;&gt;"",$F203&lt;&gt;""),$E203*$F203,""))*IF($J203&lt;&gt;"",$J203,1))</x:f>
      </x:c>
      <x:c r="N203" t="str">
        <x:f>IF(COUNTA($A203:$D203)=0,"",IF($H203&lt;&gt;"",$H203,0)*IF($J203&lt;&gt;"",$J203,1))</x:f>
      </x:c>
      <x:c r="O203" t="str">
        <x:f>IF(COUNTA($A203:$D203)=0,"",SWITCH(LOWER($D203),"buy",IFERROR(LOOKUP(2,1/($B$1:B202=B203),$O$1:O202),0)+$E203,"drip",IFERROR(LOOKUP(2,1/($B$1:B202=B203),$O$1:O202),0)+$E203,"sell",IFERROR(LOOKUP(2,1/($B$1:B202=B203),$O$1:O202),0)-$E203,"return_of_capital",IFERROR(LOOKUP(2,1/($B$1:B202=B203),$O$1:O202),0),"split",$E203,IFERROR(LOOKUP(2,1/($B$1:B202=B203),$O$1:O202),0)))</x:f>
      </x:c>
      <x:c r="P203" t="str">
        <x:f>IF(COUNTA($A203:$D203)=0,"",SWITCH(LOWER($D203),"buy",IFERROR(LOOKUP(2,1/($B$1:B202=B203),$P$1:P202),0)+$M203+$N203,"drip",IFERROR(LOOKUP(2,1/($B$1:B202=B203),$P$1:P202),0)+$M203+$N203,"sell",IFERROR(LOOKUP(2,1/($B$1:B202=B203),$P$1:P202),0)-IFERROR(IFERROR(LOOKUP(2,1/($B$1:B202=B203),$P$1:P202),0)/IFERROR(LOOKUP(2,1/($B$1:B202=B203),$O$1:O202),0)*$E203,0),"return_of_capital",IFERROR(LOOKUP(2,1/($B$1:B202=B203),$P$1:P202),0)-ABS($M203),"split",IFERROR(LOOKUP(2,1/($B$1:B202=B203),$P$1:P202),0),IFERROR(LOOKUP(2,1/($B$1:B202=B203),$P$1:P202),0)))</x:f>
      </x:c>
      <x:c r="Q203" t="str">
        <x:f>IFERROR($P203/$O203,"")</x:f>
      </x:c>
      <x:c r="R203" t="str">
        <x:f>IF(LOWER($D203)="sell",$M203-$N203-IFERROR(IFERROR(LOOKUP(2,1/($B$1:B202=B203),$P$1:P202),0)/IFERROR(LOOKUP(2,1/($B$1:B202=B203),$O$1:O202),0)*$E203,0),"")</x:f>
      </x:c>
      <x:c r="S203" t="str">
        <x:f>IF(COUNTA($A203:$D203)=0,"",IF($B203="","Missing symbol",IF($D203="","Missing action",IF(AND(LOWER($D203)="sell",$E203&gt;IFERROR(LOOKUP(2,1/($B$1:B202=B203),$O$1:O202),0)),"Sold more units than available","OK"))))</x:f>
      </x:c>
    </x:row>
    <x:row r="204">
      <x:c r="M204" t="str">
        <x:f>IF(COUNTA($A204:$D204)=0,"",IF($G204&lt;&gt;"",$G204,IF(AND($E204&lt;&gt;"",$F204&lt;&gt;""),$E204*$F204,""))*IF($J204&lt;&gt;"",$J204,1))</x:f>
      </x:c>
      <x:c r="N204" t="str">
        <x:f>IF(COUNTA($A204:$D204)=0,"",IF($H204&lt;&gt;"",$H204,0)*IF($J204&lt;&gt;"",$J204,1))</x:f>
      </x:c>
      <x:c r="O204" t="str">
        <x:f>IF(COUNTA($A204:$D204)=0,"",SWITCH(LOWER($D204),"buy",IFERROR(LOOKUP(2,1/($B$1:B203=B204),$O$1:O203),0)+$E204,"drip",IFERROR(LOOKUP(2,1/($B$1:B203=B204),$O$1:O203),0)+$E204,"sell",IFERROR(LOOKUP(2,1/($B$1:B203=B204),$O$1:O203),0)-$E204,"return_of_capital",IFERROR(LOOKUP(2,1/($B$1:B203=B204),$O$1:O203),0),"split",$E204,IFERROR(LOOKUP(2,1/($B$1:B203=B204),$O$1:O203),0)))</x:f>
      </x:c>
      <x:c r="P204" t="str">
        <x:f>IF(COUNTA($A204:$D204)=0,"",SWITCH(LOWER($D204),"buy",IFERROR(LOOKUP(2,1/($B$1:B203=B204),$P$1:P203),0)+$M204+$N204,"drip",IFERROR(LOOKUP(2,1/($B$1:B203=B204),$P$1:P203),0)+$M204+$N204,"sell",IFERROR(LOOKUP(2,1/($B$1:B203=B204),$P$1:P203),0)-IFERROR(IFERROR(LOOKUP(2,1/($B$1:B203=B204),$P$1:P203),0)/IFERROR(LOOKUP(2,1/($B$1:B203=B204),$O$1:O203),0)*$E204,0),"return_of_capital",IFERROR(LOOKUP(2,1/($B$1:B203=B204),$P$1:P203),0)-ABS($M204),"split",IFERROR(LOOKUP(2,1/($B$1:B203=B204),$P$1:P203),0),IFERROR(LOOKUP(2,1/($B$1:B203=B204),$P$1:P203),0)))</x:f>
      </x:c>
      <x:c r="Q204" t="str">
        <x:f>IFERROR($P204/$O204,"")</x:f>
      </x:c>
      <x:c r="R204" t="str">
        <x:f>IF(LOWER($D204)="sell",$M204-$N204-IFERROR(IFERROR(LOOKUP(2,1/($B$1:B203=B204),$P$1:P203),0)/IFERROR(LOOKUP(2,1/($B$1:B203=B204),$O$1:O203),0)*$E204,0),"")</x:f>
      </x:c>
      <x:c r="S204" t="str">
        <x:f>IF(COUNTA($A204:$D204)=0,"",IF($B204="","Missing symbol",IF($D204="","Missing action",IF(AND(LOWER($D204)="sell",$E204&gt;IFERROR(LOOKUP(2,1/($B$1:B203=B204),$O$1:O203),0)),"Sold more units than available","OK"))))</x:f>
      </x:c>
    </x:row>
    <x:row r="205">
      <x:c r="M205" t="str">
        <x:f>IF(COUNTA($A205:$D205)=0,"",IF($G205&lt;&gt;"",$G205,IF(AND($E205&lt;&gt;"",$F205&lt;&gt;""),$E205*$F205,""))*IF($J205&lt;&gt;"",$J205,1))</x:f>
      </x:c>
      <x:c r="N205" t="str">
        <x:f>IF(COUNTA($A205:$D205)=0,"",IF($H205&lt;&gt;"",$H205,0)*IF($J205&lt;&gt;"",$J205,1))</x:f>
      </x:c>
      <x:c r="O205" t="str">
        <x:f>IF(COUNTA($A205:$D205)=0,"",SWITCH(LOWER($D205),"buy",IFERROR(LOOKUP(2,1/($B$1:B204=B205),$O$1:O204),0)+$E205,"drip",IFERROR(LOOKUP(2,1/($B$1:B204=B205),$O$1:O204),0)+$E205,"sell",IFERROR(LOOKUP(2,1/($B$1:B204=B205),$O$1:O204),0)-$E205,"return_of_capital",IFERROR(LOOKUP(2,1/($B$1:B204=B205),$O$1:O204),0),"split",$E205,IFERROR(LOOKUP(2,1/($B$1:B204=B205),$O$1:O204),0)))</x:f>
      </x:c>
      <x:c r="P205" t="str">
        <x:f>IF(COUNTA($A205:$D205)=0,"",SWITCH(LOWER($D205),"buy",IFERROR(LOOKUP(2,1/($B$1:B204=B205),$P$1:P204),0)+$M205+$N205,"drip",IFERROR(LOOKUP(2,1/($B$1:B204=B205),$P$1:P204),0)+$M205+$N205,"sell",IFERROR(LOOKUP(2,1/($B$1:B204=B205),$P$1:P204),0)-IFERROR(IFERROR(LOOKUP(2,1/($B$1:B204=B205),$P$1:P204),0)/IFERROR(LOOKUP(2,1/($B$1:B204=B205),$O$1:O204),0)*$E205,0),"return_of_capital",IFERROR(LOOKUP(2,1/($B$1:B204=B205),$P$1:P204),0)-ABS($M205),"split",IFERROR(LOOKUP(2,1/($B$1:B204=B205),$P$1:P204),0),IFERROR(LOOKUP(2,1/($B$1:B204=B205),$P$1:P204),0)))</x:f>
      </x:c>
      <x:c r="Q205" t="str">
        <x:f>IFERROR($P205/$O205,"")</x:f>
      </x:c>
      <x:c r="R205" t="str">
        <x:f>IF(LOWER($D205)="sell",$M205-$N205-IFERROR(IFERROR(LOOKUP(2,1/($B$1:B204=B205),$P$1:P204),0)/IFERROR(LOOKUP(2,1/($B$1:B204=B205),$O$1:O204),0)*$E205,0),"")</x:f>
      </x:c>
      <x:c r="S205" t="str">
        <x:f>IF(COUNTA($A205:$D205)=0,"",IF($B205="","Missing symbol",IF($D205="","Missing action",IF(AND(LOWER($D205)="sell",$E205&gt;IFERROR(LOOKUP(2,1/($B$1:B204=B205),$O$1:O204),0)),"Sold more units than available","OK"))))</x:f>
      </x:c>
    </x:row>
    <x:row r="206">
      <x:c r="M206" t="str">
        <x:f>IF(COUNTA($A206:$D206)=0,"",IF($G206&lt;&gt;"",$G206,IF(AND($E206&lt;&gt;"",$F206&lt;&gt;""),$E206*$F206,""))*IF($J206&lt;&gt;"",$J206,1))</x:f>
      </x:c>
      <x:c r="N206" t="str">
        <x:f>IF(COUNTA($A206:$D206)=0,"",IF($H206&lt;&gt;"",$H206,0)*IF($J206&lt;&gt;"",$J206,1))</x:f>
      </x:c>
      <x:c r="O206" t="str">
        <x:f>IF(COUNTA($A206:$D206)=0,"",SWITCH(LOWER($D206),"buy",IFERROR(LOOKUP(2,1/($B$1:B205=B206),$O$1:O205),0)+$E206,"drip",IFERROR(LOOKUP(2,1/($B$1:B205=B206),$O$1:O205),0)+$E206,"sell",IFERROR(LOOKUP(2,1/($B$1:B205=B206),$O$1:O205),0)-$E206,"return_of_capital",IFERROR(LOOKUP(2,1/($B$1:B205=B206),$O$1:O205),0),"split",$E206,IFERROR(LOOKUP(2,1/($B$1:B205=B206),$O$1:O205),0)))</x:f>
      </x:c>
      <x:c r="P206" t="str">
        <x:f>IF(COUNTA($A206:$D206)=0,"",SWITCH(LOWER($D206),"buy",IFERROR(LOOKUP(2,1/($B$1:B205=B206),$P$1:P205),0)+$M206+$N206,"drip",IFERROR(LOOKUP(2,1/($B$1:B205=B206),$P$1:P205),0)+$M206+$N206,"sell",IFERROR(LOOKUP(2,1/($B$1:B205=B206),$P$1:P205),0)-IFERROR(IFERROR(LOOKUP(2,1/($B$1:B205=B206),$P$1:P205),0)/IFERROR(LOOKUP(2,1/($B$1:B205=B206),$O$1:O205),0)*$E206,0),"return_of_capital",IFERROR(LOOKUP(2,1/($B$1:B205=B206),$P$1:P205),0)-ABS($M206),"split",IFERROR(LOOKUP(2,1/($B$1:B205=B206),$P$1:P205),0),IFERROR(LOOKUP(2,1/($B$1:B205=B206),$P$1:P205),0)))</x:f>
      </x:c>
      <x:c r="Q206" t="str">
        <x:f>IFERROR($P206/$O206,"")</x:f>
      </x:c>
      <x:c r="R206" t="str">
        <x:f>IF(LOWER($D206)="sell",$M206-$N206-IFERROR(IFERROR(LOOKUP(2,1/($B$1:B205=B206),$P$1:P205),0)/IFERROR(LOOKUP(2,1/($B$1:B205=B206),$O$1:O205),0)*$E206,0),"")</x:f>
      </x:c>
      <x:c r="S206" t="str">
        <x:f>IF(COUNTA($A206:$D206)=0,"",IF($B206="","Missing symbol",IF($D206="","Missing action",IF(AND(LOWER($D206)="sell",$E206&gt;IFERROR(LOOKUP(2,1/($B$1:B205=B206),$O$1:O205),0)),"Sold more units than available","OK"))))</x:f>
      </x:c>
    </x:row>
    <x:row r="207">
      <x:c r="M207" t="str">
        <x:f>IF(COUNTA($A207:$D207)=0,"",IF($G207&lt;&gt;"",$G207,IF(AND($E207&lt;&gt;"",$F207&lt;&gt;""),$E207*$F207,""))*IF($J207&lt;&gt;"",$J207,1))</x:f>
      </x:c>
      <x:c r="N207" t="str">
        <x:f>IF(COUNTA($A207:$D207)=0,"",IF($H207&lt;&gt;"",$H207,0)*IF($J207&lt;&gt;"",$J207,1))</x:f>
      </x:c>
      <x:c r="O207" t="str">
        <x:f>IF(COUNTA($A207:$D207)=0,"",SWITCH(LOWER($D207),"buy",IFERROR(LOOKUP(2,1/($B$1:B206=B207),$O$1:O206),0)+$E207,"drip",IFERROR(LOOKUP(2,1/($B$1:B206=B207),$O$1:O206),0)+$E207,"sell",IFERROR(LOOKUP(2,1/($B$1:B206=B207),$O$1:O206),0)-$E207,"return_of_capital",IFERROR(LOOKUP(2,1/($B$1:B206=B207),$O$1:O206),0),"split",$E207,IFERROR(LOOKUP(2,1/($B$1:B206=B207),$O$1:O206),0)))</x:f>
      </x:c>
      <x:c r="P207" t="str">
        <x:f>IF(COUNTA($A207:$D207)=0,"",SWITCH(LOWER($D207),"buy",IFERROR(LOOKUP(2,1/($B$1:B206=B207),$P$1:P206),0)+$M207+$N207,"drip",IFERROR(LOOKUP(2,1/($B$1:B206=B207),$P$1:P206),0)+$M207+$N207,"sell",IFERROR(LOOKUP(2,1/($B$1:B206=B207),$P$1:P206),0)-IFERROR(IFERROR(LOOKUP(2,1/($B$1:B206=B207),$P$1:P206),0)/IFERROR(LOOKUP(2,1/($B$1:B206=B207),$O$1:O206),0)*$E207,0),"return_of_capital",IFERROR(LOOKUP(2,1/($B$1:B206=B207),$P$1:P206),0)-ABS($M207),"split",IFERROR(LOOKUP(2,1/($B$1:B206=B207),$P$1:P206),0),IFERROR(LOOKUP(2,1/($B$1:B206=B207),$P$1:P206),0)))</x:f>
      </x:c>
      <x:c r="Q207" t="str">
        <x:f>IFERROR($P207/$O207,"")</x:f>
      </x:c>
      <x:c r="R207" t="str">
        <x:f>IF(LOWER($D207)="sell",$M207-$N207-IFERROR(IFERROR(LOOKUP(2,1/($B$1:B206=B207),$P$1:P206),0)/IFERROR(LOOKUP(2,1/($B$1:B206=B207),$O$1:O206),0)*$E207,0),"")</x:f>
      </x:c>
      <x:c r="S207" t="str">
        <x:f>IF(COUNTA($A207:$D207)=0,"",IF($B207="","Missing symbol",IF($D207="","Missing action",IF(AND(LOWER($D207)="sell",$E207&gt;IFERROR(LOOKUP(2,1/($B$1:B206=B207),$O$1:O206),0)),"Sold more units than available","OK"))))</x:f>
      </x:c>
    </x:row>
    <x:row r="208">
      <x:c r="M208" t="str">
        <x:f>IF(COUNTA($A208:$D208)=0,"",IF($G208&lt;&gt;"",$G208,IF(AND($E208&lt;&gt;"",$F208&lt;&gt;""),$E208*$F208,""))*IF($J208&lt;&gt;"",$J208,1))</x:f>
      </x:c>
      <x:c r="N208" t="str">
        <x:f>IF(COUNTA($A208:$D208)=0,"",IF($H208&lt;&gt;"",$H208,0)*IF($J208&lt;&gt;"",$J208,1))</x:f>
      </x:c>
      <x:c r="O208" t="str">
        <x:f>IF(COUNTA($A208:$D208)=0,"",SWITCH(LOWER($D208),"buy",IFERROR(LOOKUP(2,1/($B$1:B207=B208),$O$1:O207),0)+$E208,"drip",IFERROR(LOOKUP(2,1/($B$1:B207=B208),$O$1:O207),0)+$E208,"sell",IFERROR(LOOKUP(2,1/($B$1:B207=B208),$O$1:O207),0)-$E208,"return_of_capital",IFERROR(LOOKUP(2,1/($B$1:B207=B208),$O$1:O207),0),"split",$E208,IFERROR(LOOKUP(2,1/($B$1:B207=B208),$O$1:O207),0)))</x:f>
      </x:c>
      <x:c r="P208" t="str">
        <x:f>IF(COUNTA($A208:$D208)=0,"",SWITCH(LOWER($D208),"buy",IFERROR(LOOKUP(2,1/($B$1:B207=B208),$P$1:P207),0)+$M208+$N208,"drip",IFERROR(LOOKUP(2,1/($B$1:B207=B208),$P$1:P207),0)+$M208+$N208,"sell",IFERROR(LOOKUP(2,1/($B$1:B207=B208),$P$1:P207),0)-IFERROR(IFERROR(LOOKUP(2,1/($B$1:B207=B208),$P$1:P207),0)/IFERROR(LOOKUP(2,1/($B$1:B207=B208),$O$1:O207),0)*$E208,0),"return_of_capital",IFERROR(LOOKUP(2,1/($B$1:B207=B208),$P$1:P207),0)-ABS($M208),"split",IFERROR(LOOKUP(2,1/($B$1:B207=B208),$P$1:P207),0),IFERROR(LOOKUP(2,1/($B$1:B207=B208),$P$1:P207),0)))</x:f>
      </x:c>
      <x:c r="Q208" t="str">
        <x:f>IFERROR($P208/$O208,"")</x:f>
      </x:c>
      <x:c r="R208" t="str">
        <x:f>IF(LOWER($D208)="sell",$M208-$N208-IFERROR(IFERROR(LOOKUP(2,1/($B$1:B207=B208),$P$1:P207),0)/IFERROR(LOOKUP(2,1/($B$1:B207=B208),$O$1:O207),0)*$E208,0),"")</x:f>
      </x:c>
      <x:c r="S208" t="str">
        <x:f>IF(COUNTA($A208:$D208)=0,"",IF($B208="","Missing symbol",IF($D208="","Missing action",IF(AND(LOWER($D208)="sell",$E208&gt;IFERROR(LOOKUP(2,1/($B$1:B207=B208),$O$1:O207),0)),"Sold more units than available","OK"))))</x:f>
      </x:c>
    </x:row>
    <x:row r="209">
      <x:c r="M209" t="str">
        <x:f>IF(COUNTA($A209:$D209)=0,"",IF($G209&lt;&gt;"",$G209,IF(AND($E209&lt;&gt;"",$F209&lt;&gt;""),$E209*$F209,""))*IF($J209&lt;&gt;"",$J209,1))</x:f>
      </x:c>
      <x:c r="N209" t="str">
        <x:f>IF(COUNTA($A209:$D209)=0,"",IF($H209&lt;&gt;"",$H209,0)*IF($J209&lt;&gt;"",$J209,1))</x:f>
      </x:c>
      <x:c r="O209" t="str">
        <x:f>IF(COUNTA($A209:$D209)=0,"",SWITCH(LOWER($D209),"buy",IFERROR(LOOKUP(2,1/($B$1:B208=B209),$O$1:O208),0)+$E209,"drip",IFERROR(LOOKUP(2,1/($B$1:B208=B209),$O$1:O208),0)+$E209,"sell",IFERROR(LOOKUP(2,1/($B$1:B208=B209),$O$1:O208),0)-$E209,"return_of_capital",IFERROR(LOOKUP(2,1/($B$1:B208=B209),$O$1:O208),0),"split",$E209,IFERROR(LOOKUP(2,1/($B$1:B208=B209),$O$1:O208),0)))</x:f>
      </x:c>
      <x:c r="P209" t="str">
        <x:f>IF(COUNTA($A209:$D209)=0,"",SWITCH(LOWER($D209),"buy",IFERROR(LOOKUP(2,1/($B$1:B208=B209),$P$1:P208),0)+$M209+$N209,"drip",IFERROR(LOOKUP(2,1/($B$1:B208=B209),$P$1:P208),0)+$M209+$N209,"sell",IFERROR(LOOKUP(2,1/($B$1:B208=B209),$P$1:P208),0)-IFERROR(IFERROR(LOOKUP(2,1/($B$1:B208=B209),$P$1:P208),0)/IFERROR(LOOKUP(2,1/($B$1:B208=B209),$O$1:O208),0)*$E209,0),"return_of_capital",IFERROR(LOOKUP(2,1/($B$1:B208=B209),$P$1:P208),0)-ABS($M209),"split",IFERROR(LOOKUP(2,1/($B$1:B208=B209),$P$1:P208),0),IFERROR(LOOKUP(2,1/($B$1:B208=B209),$P$1:P208),0)))</x:f>
      </x:c>
      <x:c r="Q209" t="str">
        <x:f>IFERROR($P209/$O209,"")</x:f>
      </x:c>
      <x:c r="R209" t="str">
        <x:f>IF(LOWER($D209)="sell",$M209-$N209-IFERROR(IFERROR(LOOKUP(2,1/($B$1:B208=B209),$P$1:P208),0)/IFERROR(LOOKUP(2,1/($B$1:B208=B209),$O$1:O208),0)*$E209,0),"")</x:f>
      </x:c>
      <x:c r="S209" t="str">
        <x:f>IF(COUNTA($A209:$D209)=0,"",IF($B209="","Missing symbol",IF($D209="","Missing action",IF(AND(LOWER($D209)="sell",$E209&gt;IFERROR(LOOKUP(2,1/($B$1:B208=B209),$O$1:O208),0)),"Sold more units than available","OK"))))</x:f>
      </x:c>
    </x:row>
    <x:row r="210">
      <x:c r="M210" t="str">
        <x:f>IF(COUNTA($A210:$D210)=0,"",IF($G210&lt;&gt;"",$G210,IF(AND($E210&lt;&gt;"",$F210&lt;&gt;""),$E210*$F210,""))*IF($J210&lt;&gt;"",$J210,1))</x:f>
      </x:c>
      <x:c r="N210" t="str">
        <x:f>IF(COUNTA($A210:$D210)=0,"",IF($H210&lt;&gt;"",$H210,0)*IF($J210&lt;&gt;"",$J210,1))</x:f>
      </x:c>
      <x:c r="O210" t="str">
        <x:f>IF(COUNTA($A210:$D210)=0,"",SWITCH(LOWER($D210),"buy",IFERROR(LOOKUP(2,1/($B$1:B209=B210),$O$1:O209),0)+$E210,"drip",IFERROR(LOOKUP(2,1/($B$1:B209=B210),$O$1:O209),0)+$E210,"sell",IFERROR(LOOKUP(2,1/($B$1:B209=B210),$O$1:O209),0)-$E210,"return_of_capital",IFERROR(LOOKUP(2,1/($B$1:B209=B210),$O$1:O209),0),"split",$E210,IFERROR(LOOKUP(2,1/($B$1:B209=B210),$O$1:O209),0)))</x:f>
      </x:c>
      <x:c r="P210" t="str">
        <x:f>IF(COUNTA($A210:$D210)=0,"",SWITCH(LOWER($D210),"buy",IFERROR(LOOKUP(2,1/($B$1:B209=B210),$P$1:P209),0)+$M210+$N210,"drip",IFERROR(LOOKUP(2,1/($B$1:B209=B210),$P$1:P209),0)+$M210+$N210,"sell",IFERROR(LOOKUP(2,1/($B$1:B209=B210),$P$1:P209),0)-IFERROR(IFERROR(LOOKUP(2,1/($B$1:B209=B210),$P$1:P209),0)/IFERROR(LOOKUP(2,1/($B$1:B209=B210),$O$1:O209),0)*$E210,0),"return_of_capital",IFERROR(LOOKUP(2,1/($B$1:B209=B210),$P$1:P209),0)-ABS($M210),"split",IFERROR(LOOKUP(2,1/($B$1:B209=B210),$P$1:P209),0),IFERROR(LOOKUP(2,1/($B$1:B209=B210),$P$1:P209),0)))</x:f>
      </x:c>
      <x:c r="Q210" t="str">
        <x:f>IFERROR($P210/$O210,"")</x:f>
      </x:c>
      <x:c r="R210" t="str">
        <x:f>IF(LOWER($D210)="sell",$M210-$N210-IFERROR(IFERROR(LOOKUP(2,1/($B$1:B209=B210),$P$1:P209),0)/IFERROR(LOOKUP(2,1/($B$1:B209=B210),$O$1:O209),0)*$E210,0),"")</x:f>
      </x:c>
      <x:c r="S210" t="str">
        <x:f>IF(COUNTA($A210:$D210)=0,"",IF($B210="","Missing symbol",IF($D210="","Missing action",IF(AND(LOWER($D210)="sell",$E210&gt;IFERROR(LOOKUP(2,1/($B$1:B209=B210),$O$1:O209),0)),"Sold more units than available","OK"))))</x:f>
      </x:c>
    </x:row>
    <x:row r="211">
      <x:c r="M211" t="str">
        <x:f>IF(COUNTA($A211:$D211)=0,"",IF($G211&lt;&gt;"",$G211,IF(AND($E211&lt;&gt;"",$F211&lt;&gt;""),$E211*$F211,""))*IF($J211&lt;&gt;"",$J211,1))</x:f>
      </x:c>
      <x:c r="N211" t="str">
        <x:f>IF(COUNTA($A211:$D211)=0,"",IF($H211&lt;&gt;"",$H211,0)*IF($J211&lt;&gt;"",$J211,1))</x:f>
      </x:c>
      <x:c r="O211" t="str">
        <x:f>IF(COUNTA($A211:$D211)=0,"",SWITCH(LOWER($D211),"buy",IFERROR(LOOKUP(2,1/($B$1:B210=B211),$O$1:O210),0)+$E211,"drip",IFERROR(LOOKUP(2,1/($B$1:B210=B211),$O$1:O210),0)+$E211,"sell",IFERROR(LOOKUP(2,1/($B$1:B210=B211),$O$1:O210),0)-$E211,"return_of_capital",IFERROR(LOOKUP(2,1/($B$1:B210=B211),$O$1:O210),0),"split",$E211,IFERROR(LOOKUP(2,1/($B$1:B210=B211),$O$1:O210),0)))</x:f>
      </x:c>
      <x:c r="P211" t="str">
        <x:f>IF(COUNTA($A211:$D211)=0,"",SWITCH(LOWER($D211),"buy",IFERROR(LOOKUP(2,1/($B$1:B210=B211),$P$1:P210),0)+$M211+$N211,"drip",IFERROR(LOOKUP(2,1/($B$1:B210=B211),$P$1:P210),0)+$M211+$N211,"sell",IFERROR(LOOKUP(2,1/($B$1:B210=B211),$P$1:P210),0)-IFERROR(IFERROR(LOOKUP(2,1/($B$1:B210=B211),$P$1:P210),0)/IFERROR(LOOKUP(2,1/($B$1:B210=B211),$O$1:O210),0)*$E211,0),"return_of_capital",IFERROR(LOOKUP(2,1/($B$1:B210=B211),$P$1:P210),0)-ABS($M211),"split",IFERROR(LOOKUP(2,1/($B$1:B210=B211),$P$1:P210),0),IFERROR(LOOKUP(2,1/($B$1:B210=B211),$P$1:P210),0)))</x:f>
      </x:c>
      <x:c r="Q211" t="str">
        <x:f>IFERROR($P211/$O211,"")</x:f>
      </x:c>
      <x:c r="R211" t="str">
        <x:f>IF(LOWER($D211)="sell",$M211-$N211-IFERROR(IFERROR(LOOKUP(2,1/($B$1:B210=B211),$P$1:P210),0)/IFERROR(LOOKUP(2,1/($B$1:B210=B211),$O$1:O210),0)*$E211,0),"")</x:f>
      </x:c>
      <x:c r="S211" t="str">
        <x:f>IF(COUNTA($A211:$D211)=0,"",IF($B211="","Missing symbol",IF($D211="","Missing action",IF(AND(LOWER($D211)="sell",$E211&gt;IFERROR(LOOKUP(2,1/($B$1:B210=B211),$O$1:O210),0)),"Sold more units than available","OK"))))</x:f>
      </x:c>
    </x:row>
    <x:row r="212">
      <x:c r="M212" t="str">
        <x:f>IF(COUNTA($A212:$D212)=0,"",IF($G212&lt;&gt;"",$G212,IF(AND($E212&lt;&gt;"",$F212&lt;&gt;""),$E212*$F212,""))*IF($J212&lt;&gt;"",$J212,1))</x:f>
      </x:c>
      <x:c r="N212" t="str">
        <x:f>IF(COUNTA($A212:$D212)=0,"",IF($H212&lt;&gt;"",$H212,0)*IF($J212&lt;&gt;"",$J212,1))</x:f>
      </x:c>
      <x:c r="O212" t="str">
        <x:f>IF(COUNTA($A212:$D212)=0,"",SWITCH(LOWER($D212),"buy",IFERROR(LOOKUP(2,1/($B$1:B211=B212),$O$1:O211),0)+$E212,"drip",IFERROR(LOOKUP(2,1/($B$1:B211=B212),$O$1:O211),0)+$E212,"sell",IFERROR(LOOKUP(2,1/($B$1:B211=B212),$O$1:O211),0)-$E212,"return_of_capital",IFERROR(LOOKUP(2,1/($B$1:B211=B212),$O$1:O211),0),"split",$E212,IFERROR(LOOKUP(2,1/($B$1:B211=B212),$O$1:O211),0)))</x:f>
      </x:c>
      <x:c r="P212" t="str">
        <x:f>IF(COUNTA($A212:$D212)=0,"",SWITCH(LOWER($D212),"buy",IFERROR(LOOKUP(2,1/($B$1:B211=B212),$P$1:P211),0)+$M212+$N212,"drip",IFERROR(LOOKUP(2,1/($B$1:B211=B212),$P$1:P211),0)+$M212+$N212,"sell",IFERROR(LOOKUP(2,1/($B$1:B211=B212),$P$1:P211),0)-IFERROR(IFERROR(LOOKUP(2,1/($B$1:B211=B212),$P$1:P211),0)/IFERROR(LOOKUP(2,1/($B$1:B211=B212),$O$1:O211),0)*$E212,0),"return_of_capital",IFERROR(LOOKUP(2,1/($B$1:B211=B212),$P$1:P211),0)-ABS($M212),"split",IFERROR(LOOKUP(2,1/($B$1:B211=B212),$P$1:P211),0),IFERROR(LOOKUP(2,1/($B$1:B211=B212),$P$1:P211),0)))</x:f>
      </x:c>
      <x:c r="Q212" t="str">
        <x:f>IFERROR($P212/$O212,"")</x:f>
      </x:c>
      <x:c r="R212" t="str">
        <x:f>IF(LOWER($D212)="sell",$M212-$N212-IFERROR(IFERROR(LOOKUP(2,1/($B$1:B211=B212),$P$1:P211),0)/IFERROR(LOOKUP(2,1/($B$1:B211=B212),$O$1:O211),0)*$E212,0),"")</x:f>
      </x:c>
      <x:c r="S212" t="str">
        <x:f>IF(COUNTA($A212:$D212)=0,"",IF($B212="","Missing symbol",IF($D212="","Missing action",IF(AND(LOWER($D212)="sell",$E212&gt;IFERROR(LOOKUP(2,1/($B$1:B211=B212),$O$1:O211),0)),"Sold more units than available","OK"))))</x:f>
      </x:c>
    </x:row>
    <x:row r="213">
      <x:c r="M213" t="str">
        <x:f>IF(COUNTA($A213:$D213)=0,"",IF($G213&lt;&gt;"",$G213,IF(AND($E213&lt;&gt;"",$F213&lt;&gt;""),$E213*$F213,""))*IF($J213&lt;&gt;"",$J213,1))</x:f>
      </x:c>
      <x:c r="N213" t="str">
        <x:f>IF(COUNTA($A213:$D213)=0,"",IF($H213&lt;&gt;"",$H213,0)*IF($J213&lt;&gt;"",$J213,1))</x:f>
      </x:c>
      <x:c r="O213" t="str">
        <x:f>IF(COUNTA($A213:$D213)=0,"",SWITCH(LOWER($D213),"buy",IFERROR(LOOKUP(2,1/($B$1:B212=B213),$O$1:O212),0)+$E213,"drip",IFERROR(LOOKUP(2,1/($B$1:B212=B213),$O$1:O212),0)+$E213,"sell",IFERROR(LOOKUP(2,1/($B$1:B212=B213),$O$1:O212),0)-$E213,"return_of_capital",IFERROR(LOOKUP(2,1/($B$1:B212=B213),$O$1:O212),0),"split",$E213,IFERROR(LOOKUP(2,1/($B$1:B212=B213),$O$1:O212),0)))</x:f>
      </x:c>
      <x:c r="P213" t="str">
        <x:f>IF(COUNTA($A213:$D213)=0,"",SWITCH(LOWER($D213),"buy",IFERROR(LOOKUP(2,1/($B$1:B212=B213),$P$1:P212),0)+$M213+$N213,"drip",IFERROR(LOOKUP(2,1/($B$1:B212=B213),$P$1:P212),0)+$M213+$N213,"sell",IFERROR(LOOKUP(2,1/($B$1:B212=B213),$P$1:P212),0)-IFERROR(IFERROR(LOOKUP(2,1/($B$1:B212=B213),$P$1:P212),0)/IFERROR(LOOKUP(2,1/($B$1:B212=B213),$O$1:O212),0)*$E213,0),"return_of_capital",IFERROR(LOOKUP(2,1/($B$1:B212=B213),$P$1:P212),0)-ABS($M213),"split",IFERROR(LOOKUP(2,1/($B$1:B212=B213),$P$1:P212),0),IFERROR(LOOKUP(2,1/($B$1:B212=B213),$P$1:P212),0)))</x:f>
      </x:c>
      <x:c r="Q213" t="str">
        <x:f>IFERROR($P213/$O213,"")</x:f>
      </x:c>
      <x:c r="R213" t="str">
        <x:f>IF(LOWER($D213)="sell",$M213-$N213-IFERROR(IFERROR(LOOKUP(2,1/($B$1:B212=B213),$P$1:P212),0)/IFERROR(LOOKUP(2,1/($B$1:B212=B213),$O$1:O212),0)*$E213,0),"")</x:f>
      </x:c>
      <x:c r="S213" t="str">
        <x:f>IF(COUNTA($A213:$D213)=0,"",IF($B213="","Missing symbol",IF($D213="","Missing action",IF(AND(LOWER($D213)="sell",$E213&gt;IFERROR(LOOKUP(2,1/($B$1:B212=B213),$O$1:O212),0)),"Sold more units than available","OK"))))</x:f>
      </x:c>
    </x:row>
    <x:row r="214">
      <x:c r="M214" t="str">
        <x:f>IF(COUNTA($A214:$D214)=0,"",IF($G214&lt;&gt;"",$G214,IF(AND($E214&lt;&gt;"",$F214&lt;&gt;""),$E214*$F214,""))*IF($J214&lt;&gt;"",$J214,1))</x:f>
      </x:c>
      <x:c r="N214" t="str">
        <x:f>IF(COUNTA($A214:$D214)=0,"",IF($H214&lt;&gt;"",$H214,0)*IF($J214&lt;&gt;"",$J214,1))</x:f>
      </x:c>
      <x:c r="O214" t="str">
        <x:f>IF(COUNTA($A214:$D214)=0,"",SWITCH(LOWER($D214),"buy",IFERROR(LOOKUP(2,1/($B$1:B213=B214),$O$1:O213),0)+$E214,"drip",IFERROR(LOOKUP(2,1/($B$1:B213=B214),$O$1:O213),0)+$E214,"sell",IFERROR(LOOKUP(2,1/($B$1:B213=B214),$O$1:O213),0)-$E214,"return_of_capital",IFERROR(LOOKUP(2,1/($B$1:B213=B214),$O$1:O213),0),"split",$E214,IFERROR(LOOKUP(2,1/($B$1:B213=B214),$O$1:O213),0)))</x:f>
      </x:c>
      <x:c r="P214" t="str">
        <x:f>IF(COUNTA($A214:$D214)=0,"",SWITCH(LOWER($D214),"buy",IFERROR(LOOKUP(2,1/($B$1:B213=B214),$P$1:P213),0)+$M214+$N214,"drip",IFERROR(LOOKUP(2,1/($B$1:B213=B214),$P$1:P213),0)+$M214+$N214,"sell",IFERROR(LOOKUP(2,1/($B$1:B213=B214),$P$1:P213),0)-IFERROR(IFERROR(LOOKUP(2,1/($B$1:B213=B214),$P$1:P213),0)/IFERROR(LOOKUP(2,1/($B$1:B213=B214),$O$1:O213),0)*$E214,0),"return_of_capital",IFERROR(LOOKUP(2,1/($B$1:B213=B214),$P$1:P213),0)-ABS($M214),"split",IFERROR(LOOKUP(2,1/($B$1:B213=B214),$P$1:P213),0),IFERROR(LOOKUP(2,1/($B$1:B213=B214),$P$1:P213),0)))</x:f>
      </x:c>
      <x:c r="Q214" t="str">
        <x:f>IFERROR($P214/$O214,"")</x:f>
      </x:c>
      <x:c r="R214" t="str">
        <x:f>IF(LOWER($D214)="sell",$M214-$N214-IFERROR(IFERROR(LOOKUP(2,1/($B$1:B213=B214),$P$1:P213),0)/IFERROR(LOOKUP(2,1/($B$1:B213=B214),$O$1:O213),0)*$E214,0),"")</x:f>
      </x:c>
      <x:c r="S214" t="str">
        <x:f>IF(COUNTA($A214:$D214)=0,"",IF($B214="","Missing symbol",IF($D214="","Missing action",IF(AND(LOWER($D214)="sell",$E214&gt;IFERROR(LOOKUP(2,1/($B$1:B213=B214),$O$1:O213),0)),"Sold more units than available","OK"))))</x:f>
      </x:c>
    </x:row>
    <x:row r="215">
      <x:c r="M215" t="str">
        <x:f>IF(COUNTA($A215:$D215)=0,"",IF($G215&lt;&gt;"",$G215,IF(AND($E215&lt;&gt;"",$F215&lt;&gt;""),$E215*$F215,""))*IF($J215&lt;&gt;"",$J215,1))</x:f>
      </x:c>
      <x:c r="N215" t="str">
        <x:f>IF(COUNTA($A215:$D215)=0,"",IF($H215&lt;&gt;"",$H215,0)*IF($J215&lt;&gt;"",$J215,1))</x:f>
      </x:c>
      <x:c r="O215" t="str">
        <x:f>IF(COUNTA($A215:$D215)=0,"",SWITCH(LOWER($D215),"buy",IFERROR(LOOKUP(2,1/($B$1:B214=B215),$O$1:O214),0)+$E215,"drip",IFERROR(LOOKUP(2,1/($B$1:B214=B215),$O$1:O214),0)+$E215,"sell",IFERROR(LOOKUP(2,1/($B$1:B214=B215),$O$1:O214),0)-$E215,"return_of_capital",IFERROR(LOOKUP(2,1/($B$1:B214=B215),$O$1:O214),0),"split",$E215,IFERROR(LOOKUP(2,1/($B$1:B214=B215),$O$1:O214),0)))</x:f>
      </x:c>
      <x:c r="P215" t="str">
        <x:f>IF(COUNTA($A215:$D215)=0,"",SWITCH(LOWER($D215),"buy",IFERROR(LOOKUP(2,1/($B$1:B214=B215),$P$1:P214),0)+$M215+$N215,"drip",IFERROR(LOOKUP(2,1/($B$1:B214=B215),$P$1:P214),0)+$M215+$N215,"sell",IFERROR(LOOKUP(2,1/($B$1:B214=B215),$P$1:P214),0)-IFERROR(IFERROR(LOOKUP(2,1/($B$1:B214=B215),$P$1:P214),0)/IFERROR(LOOKUP(2,1/($B$1:B214=B215),$O$1:O214),0)*$E215,0),"return_of_capital",IFERROR(LOOKUP(2,1/($B$1:B214=B215),$P$1:P214),0)-ABS($M215),"split",IFERROR(LOOKUP(2,1/($B$1:B214=B215),$P$1:P214),0),IFERROR(LOOKUP(2,1/($B$1:B214=B215),$P$1:P214),0)))</x:f>
      </x:c>
      <x:c r="Q215" t="str">
        <x:f>IFERROR($P215/$O215,"")</x:f>
      </x:c>
      <x:c r="R215" t="str">
        <x:f>IF(LOWER($D215)="sell",$M215-$N215-IFERROR(IFERROR(LOOKUP(2,1/($B$1:B214=B215),$P$1:P214),0)/IFERROR(LOOKUP(2,1/($B$1:B214=B215),$O$1:O214),0)*$E215,0),"")</x:f>
      </x:c>
      <x:c r="S215" t="str">
        <x:f>IF(COUNTA($A215:$D215)=0,"",IF($B215="","Missing symbol",IF($D215="","Missing action",IF(AND(LOWER($D215)="sell",$E215&gt;IFERROR(LOOKUP(2,1/($B$1:B214=B215),$O$1:O214),0)),"Sold more units than available","OK"))))</x:f>
      </x:c>
    </x:row>
    <x:row r="216">
      <x:c r="M216" t="str">
        <x:f>IF(COUNTA($A216:$D216)=0,"",IF($G216&lt;&gt;"",$G216,IF(AND($E216&lt;&gt;"",$F216&lt;&gt;""),$E216*$F216,""))*IF($J216&lt;&gt;"",$J216,1))</x:f>
      </x:c>
      <x:c r="N216" t="str">
        <x:f>IF(COUNTA($A216:$D216)=0,"",IF($H216&lt;&gt;"",$H216,0)*IF($J216&lt;&gt;"",$J216,1))</x:f>
      </x:c>
      <x:c r="O216" t="str">
        <x:f>IF(COUNTA($A216:$D216)=0,"",SWITCH(LOWER($D216),"buy",IFERROR(LOOKUP(2,1/($B$1:B215=B216),$O$1:O215),0)+$E216,"drip",IFERROR(LOOKUP(2,1/($B$1:B215=B216),$O$1:O215),0)+$E216,"sell",IFERROR(LOOKUP(2,1/($B$1:B215=B216),$O$1:O215),0)-$E216,"return_of_capital",IFERROR(LOOKUP(2,1/($B$1:B215=B216),$O$1:O215),0),"split",$E216,IFERROR(LOOKUP(2,1/($B$1:B215=B216),$O$1:O215),0)))</x:f>
      </x:c>
      <x:c r="P216" t="str">
        <x:f>IF(COUNTA($A216:$D216)=0,"",SWITCH(LOWER($D216),"buy",IFERROR(LOOKUP(2,1/($B$1:B215=B216),$P$1:P215),0)+$M216+$N216,"drip",IFERROR(LOOKUP(2,1/($B$1:B215=B216),$P$1:P215),0)+$M216+$N216,"sell",IFERROR(LOOKUP(2,1/($B$1:B215=B216),$P$1:P215),0)-IFERROR(IFERROR(LOOKUP(2,1/($B$1:B215=B216),$P$1:P215),0)/IFERROR(LOOKUP(2,1/($B$1:B215=B216),$O$1:O215),0)*$E216,0),"return_of_capital",IFERROR(LOOKUP(2,1/($B$1:B215=B216),$P$1:P215),0)-ABS($M216),"split",IFERROR(LOOKUP(2,1/($B$1:B215=B216),$P$1:P215),0),IFERROR(LOOKUP(2,1/($B$1:B215=B216),$P$1:P215),0)))</x:f>
      </x:c>
      <x:c r="Q216" t="str">
        <x:f>IFERROR($P216/$O216,"")</x:f>
      </x:c>
      <x:c r="R216" t="str">
        <x:f>IF(LOWER($D216)="sell",$M216-$N216-IFERROR(IFERROR(LOOKUP(2,1/($B$1:B215=B216),$P$1:P215),0)/IFERROR(LOOKUP(2,1/($B$1:B215=B216),$O$1:O215),0)*$E216,0),"")</x:f>
      </x:c>
      <x:c r="S216" t="str">
        <x:f>IF(COUNTA($A216:$D216)=0,"",IF($B216="","Missing symbol",IF($D216="","Missing action",IF(AND(LOWER($D216)="sell",$E216&gt;IFERROR(LOOKUP(2,1/($B$1:B215=B216),$O$1:O215),0)),"Sold more units than available","OK"))))</x:f>
      </x:c>
    </x:row>
    <x:row r="217">
      <x:c r="M217" t="str">
        <x:f>IF(COUNTA($A217:$D217)=0,"",IF($G217&lt;&gt;"",$G217,IF(AND($E217&lt;&gt;"",$F217&lt;&gt;""),$E217*$F217,""))*IF($J217&lt;&gt;"",$J217,1))</x:f>
      </x:c>
      <x:c r="N217" t="str">
        <x:f>IF(COUNTA($A217:$D217)=0,"",IF($H217&lt;&gt;"",$H217,0)*IF($J217&lt;&gt;"",$J217,1))</x:f>
      </x:c>
      <x:c r="O217" t="str">
        <x:f>IF(COUNTA($A217:$D217)=0,"",SWITCH(LOWER($D217),"buy",IFERROR(LOOKUP(2,1/($B$1:B216=B217),$O$1:O216),0)+$E217,"drip",IFERROR(LOOKUP(2,1/($B$1:B216=B217),$O$1:O216),0)+$E217,"sell",IFERROR(LOOKUP(2,1/($B$1:B216=B217),$O$1:O216),0)-$E217,"return_of_capital",IFERROR(LOOKUP(2,1/($B$1:B216=B217),$O$1:O216),0),"split",$E217,IFERROR(LOOKUP(2,1/($B$1:B216=B217),$O$1:O216),0)))</x:f>
      </x:c>
      <x:c r="P217" t="str">
        <x:f>IF(COUNTA($A217:$D217)=0,"",SWITCH(LOWER($D217),"buy",IFERROR(LOOKUP(2,1/($B$1:B216=B217),$P$1:P216),0)+$M217+$N217,"drip",IFERROR(LOOKUP(2,1/($B$1:B216=B217),$P$1:P216),0)+$M217+$N217,"sell",IFERROR(LOOKUP(2,1/($B$1:B216=B217),$P$1:P216),0)-IFERROR(IFERROR(LOOKUP(2,1/($B$1:B216=B217),$P$1:P216),0)/IFERROR(LOOKUP(2,1/($B$1:B216=B217),$O$1:O216),0)*$E217,0),"return_of_capital",IFERROR(LOOKUP(2,1/($B$1:B216=B217),$P$1:P216),0)-ABS($M217),"split",IFERROR(LOOKUP(2,1/($B$1:B216=B217),$P$1:P216),0),IFERROR(LOOKUP(2,1/($B$1:B216=B217),$P$1:P216),0)))</x:f>
      </x:c>
      <x:c r="Q217" t="str">
        <x:f>IFERROR($P217/$O217,"")</x:f>
      </x:c>
      <x:c r="R217" t="str">
        <x:f>IF(LOWER($D217)="sell",$M217-$N217-IFERROR(IFERROR(LOOKUP(2,1/($B$1:B216=B217),$P$1:P216),0)/IFERROR(LOOKUP(2,1/($B$1:B216=B217),$O$1:O216),0)*$E217,0),"")</x:f>
      </x:c>
      <x:c r="S217" t="str">
        <x:f>IF(COUNTA($A217:$D217)=0,"",IF($B217="","Missing symbol",IF($D217="","Missing action",IF(AND(LOWER($D217)="sell",$E217&gt;IFERROR(LOOKUP(2,1/($B$1:B216=B217),$O$1:O216),0)),"Sold more units than available","OK"))))</x:f>
      </x:c>
    </x:row>
    <x:row r="218">
      <x:c r="M218" t="str">
        <x:f>IF(COUNTA($A218:$D218)=0,"",IF($G218&lt;&gt;"",$G218,IF(AND($E218&lt;&gt;"",$F218&lt;&gt;""),$E218*$F218,""))*IF($J218&lt;&gt;"",$J218,1))</x:f>
      </x:c>
      <x:c r="N218" t="str">
        <x:f>IF(COUNTA($A218:$D218)=0,"",IF($H218&lt;&gt;"",$H218,0)*IF($J218&lt;&gt;"",$J218,1))</x:f>
      </x:c>
      <x:c r="O218" t="str">
        <x:f>IF(COUNTA($A218:$D218)=0,"",SWITCH(LOWER($D218),"buy",IFERROR(LOOKUP(2,1/($B$1:B217=B218),$O$1:O217),0)+$E218,"drip",IFERROR(LOOKUP(2,1/($B$1:B217=B218),$O$1:O217),0)+$E218,"sell",IFERROR(LOOKUP(2,1/($B$1:B217=B218),$O$1:O217),0)-$E218,"return_of_capital",IFERROR(LOOKUP(2,1/($B$1:B217=B218),$O$1:O217),0),"split",$E218,IFERROR(LOOKUP(2,1/($B$1:B217=B218),$O$1:O217),0)))</x:f>
      </x:c>
      <x:c r="P218" t="str">
        <x:f>IF(COUNTA($A218:$D218)=0,"",SWITCH(LOWER($D218),"buy",IFERROR(LOOKUP(2,1/($B$1:B217=B218),$P$1:P217),0)+$M218+$N218,"drip",IFERROR(LOOKUP(2,1/($B$1:B217=B218),$P$1:P217),0)+$M218+$N218,"sell",IFERROR(LOOKUP(2,1/($B$1:B217=B218),$P$1:P217),0)-IFERROR(IFERROR(LOOKUP(2,1/($B$1:B217=B218),$P$1:P217),0)/IFERROR(LOOKUP(2,1/($B$1:B217=B218),$O$1:O217),0)*$E218,0),"return_of_capital",IFERROR(LOOKUP(2,1/($B$1:B217=B218),$P$1:P217),0)-ABS($M218),"split",IFERROR(LOOKUP(2,1/($B$1:B217=B218),$P$1:P217),0),IFERROR(LOOKUP(2,1/($B$1:B217=B218),$P$1:P217),0)))</x:f>
      </x:c>
      <x:c r="Q218" t="str">
        <x:f>IFERROR($P218/$O218,"")</x:f>
      </x:c>
      <x:c r="R218" t="str">
        <x:f>IF(LOWER($D218)="sell",$M218-$N218-IFERROR(IFERROR(LOOKUP(2,1/($B$1:B217=B218),$P$1:P217),0)/IFERROR(LOOKUP(2,1/($B$1:B217=B218),$O$1:O217),0)*$E218,0),"")</x:f>
      </x:c>
      <x:c r="S218" t="str">
        <x:f>IF(COUNTA($A218:$D218)=0,"",IF($B218="","Missing symbol",IF($D218="","Missing action",IF(AND(LOWER($D218)="sell",$E218&gt;IFERROR(LOOKUP(2,1/($B$1:B217=B218),$O$1:O217),0)),"Sold more units than available","OK"))))</x:f>
      </x:c>
    </x:row>
    <x:row r="219">
      <x:c r="M219" t="str">
        <x:f>IF(COUNTA($A219:$D219)=0,"",IF($G219&lt;&gt;"",$G219,IF(AND($E219&lt;&gt;"",$F219&lt;&gt;""),$E219*$F219,""))*IF($J219&lt;&gt;"",$J219,1))</x:f>
      </x:c>
      <x:c r="N219" t="str">
        <x:f>IF(COUNTA($A219:$D219)=0,"",IF($H219&lt;&gt;"",$H219,0)*IF($J219&lt;&gt;"",$J219,1))</x:f>
      </x:c>
      <x:c r="O219" t="str">
        <x:f>IF(COUNTA($A219:$D219)=0,"",SWITCH(LOWER($D219),"buy",IFERROR(LOOKUP(2,1/($B$1:B218=B219),$O$1:O218),0)+$E219,"drip",IFERROR(LOOKUP(2,1/($B$1:B218=B219),$O$1:O218),0)+$E219,"sell",IFERROR(LOOKUP(2,1/($B$1:B218=B219),$O$1:O218),0)-$E219,"return_of_capital",IFERROR(LOOKUP(2,1/($B$1:B218=B219),$O$1:O218),0),"split",$E219,IFERROR(LOOKUP(2,1/($B$1:B218=B219),$O$1:O218),0)))</x:f>
      </x:c>
      <x:c r="P219" t="str">
        <x:f>IF(COUNTA($A219:$D219)=0,"",SWITCH(LOWER($D219),"buy",IFERROR(LOOKUP(2,1/($B$1:B218=B219),$P$1:P218),0)+$M219+$N219,"drip",IFERROR(LOOKUP(2,1/($B$1:B218=B219),$P$1:P218),0)+$M219+$N219,"sell",IFERROR(LOOKUP(2,1/($B$1:B218=B219),$P$1:P218),0)-IFERROR(IFERROR(LOOKUP(2,1/($B$1:B218=B219),$P$1:P218),0)/IFERROR(LOOKUP(2,1/($B$1:B218=B219),$O$1:O218),0)*$E219,0),"return_of_capital",IFERROR(LOOKUP(2,1/($B$1:B218=B219),$P$1:P218),0)-ABS($M219),"split",IFERROR(LOOKUP(2,1/($B$1:B218=B219),$P$1:P218),0),IFERROR(LOOKUP(2,1/($B$1:B218=B219),$P$1:P218),0)))</x:f>
      </x:c>
      <x:c r="Q219" t="str">
        <x:f>IFERROR($P219/$O219,"")</x:f>
      </x:c>
      <x:c r="R219" t="str">
        <x:f>IF(LOWER($D219)="sell",$M219-$N219-IFERROR(IFERROR(LOOKUP(2,1/($B$1:B218=B219),$P$1:P218),0)/IFERROR(LOOKUP(2,1/($B$1:B218=B219),$O$1:O218),0)*$E219,0),"")</x:f>
      </x:c>
      <x:c r="S219" t="str">
        <x:f>IF(COUNTA($A219:$D219)=0,"",IF($B219="","Missing symbol",IF($D219="","Missing action",IF(AND(LOWER($D219)="sell",$E219&gt;IFERROR(LOOKUP(2,1/($B$1:B218=B219),$O$1:O218),0)),"Sold more units than available","OK"))))</x:f>
      </x:c>
    </x:row>
    <x:row r="220">
      <x:c r="M220" t="str">
        <x:f>IF(COUNTA($A220:$D220)=0,"",IF($G220&lt;&gt;"",$G220,IF(AND($E220&lt;&gt;"",$F220&lt;&gt;""),$E220*$F220,""))*IF($J220&lt;&gt;"",$J220,1))</x:f>
      </x:c>
      <x:c r="N220" t="str">
        <x:f>IF(COUNTA($A220:$D220)=0,"",IF($H220&lt;&gt;"",$H220,0)*IF($J220&lt;&gt;"",$J220,1))</x:f>
      </x:c>
      <x:c r="O220" t="str">
        <x:f>IF(COUNTA($A220:$D220)=0,"",SWITCH(LOWER($D220),"buy",IFERROR(LOOKUP(2,1/($B$1:B219=B220),$O$1:O219),0)+$E220,"drip",IFERROR(LOOKUP(2,1/($B$1:B219=B220),$O$1:O219),0)+$E220,"sell",IFERROR(LOOKUP(2,1/($B$1:B219=B220),$O$1:O219),0)-$E220,"return_of_capital",IFERROR(LOOKUP(2,1/($B$1:B219=B220),$O$1:O219),0),"split",$E220,IFERROR(LOOKUP(2,1/($B$1:B219=B220),$O$1:O219),0)))</x:f>
      </x:c>
      <x:c r="P220" t="str">
        <x:f>IF(COUNTA($A220:$D220)=0,"",SWITCH(LOWER($D220),"buy",IFERROR(LOOKUP(2,1/($B$1:B219=B220),$P$1:P219),0)+$M220+$N220,"drip",IFERROR(LOOKUP(2,1/($B$1:B219=B220),$P$1:P219),0)+$M220+$N220,"sell",IFERROR(LOOKUP(2,1/($B$1:B219=B220),$P$1:P219),0)-IFERROR(IFERROR(LOOKUP(2,1/($B$1:B219=B220),$P$1:P219),0)/IFERROR(LOOKUP(2,1/($B$1:B219=B220),$O$1:O219),0)*$E220,0),"return_of_capital",IFERROR(LOOKUP(2,1/($B$1:B219=B220),$P$1:P219),0)-ABS($M220),"split",IFERROR(LOOKUP(2,1/($B$1:B219=B220),$P$1:P219),0),IFERROR(LOOKUP(2,1/($B$1:B219=B220),$P$1:P219),0)))</x:f>
      </x:c>
      <x:c r="Q220" t="str">
        <x:f>IFERROR($P220/$O220,"")</x:f>
      </x:c>
      <x:c r="R220" t="str">
        <x:f>IF(LOWER($D220)="sell",$M220-$N220-IFERROR(IFERROR(LOOKUP(2,1/($B$1:B219=B220),$P$1:P219),0)/IFERROR(LOOKUP(2,1/($B$1:B219=B220),$O$1:O219),0)*$E220,0),"")</x:f>
      </x:c>
      <x:c r="S220" t="str">
        <x:f>IF(COUNTA($A220:$D220)=0,"",IF($B220="","Missing symbol",IF($D220="","Missing action",IF(AND(LOWER($D220)="sell",$E220&gt;IFERROR(LOOKUP(2,1/($B$1:B219=B220),$O$1:O219),0)),"Sold more units than available","OK"))))</x:f>
      </x:c>
    </x:row>
    <x:row r="221">
      <x:c r="M221" t="str">
        <x:f>IF(COUNTA($A221:$D221)=0,"",IF($G221&lt;&gt;"",$G221,IF(AND($E221&lt;&gt;"",$F221&lt;&gt;""),$E221*$F221,""))*IF($J221&lt;&gt;"",$J221,1))</x:f>
      </x:c>
      <x:c r="N221" t="str">
        <x:f>IF(COUNTA($A221:$D221)=0,"",IF($H221&lt;&gt;"",$H221,0)*IF($J221&lt;&gt;"",$J221,1))</x:f>
      </x:c>
      <x:c r="O221" t="str">
        <x:f>IF(COUNTA($A221:$D221)=0,"",SWITCH(LOWER($D221),"buy",IFERROR(LOOKUP(2,1/($B$1:B220=B221),$O$1:O220),0)+$E221,"drip",IFERROR(LOOKUP(2,1/($B$1:B220=B221),$O$1:O220),0)+$E221,"sell",IFERROR(LOOKUP(2,1/($B$1:B220=B221),$O$1:O220),0)-$E221,"return_of_capital",IFERROR(LOOKUP(2,1/($B$1:B220=B221),$O$1:O220),0),"split",$E221,IFERROR(LOOKUP(2,1/($B$1:B220=B221),$O$1:O220),0)))</x:f>
      </x:c>
      <x:c r="P221" t="str">
        <x:f>IF(COUNTA($A221:$D221)=0,"",SWITCH(LOWER($D221),"buy",IFERROR(LOOKUP(2,1/($B$1:B220=B221),$P$1:P220),0)+$M221+$N221,"drip",IFERROR(LOOKUP(2,1/($B$1:B220=B221),$P$1:P220),0)+$M221+$N221,"sell",IFERROR(LOOKUP(2,1/($B$1:B220=B221),$P$1:P220),0)-IFERROR(IFERROR(LOOKUP(2,1/($B$1:B220=B221),$P$1:P220),0)/IFERROR(LOOKUP(2,1/($B$1:B220=B221),$O$1:O220),0)*$E221,0),"return_of_capital",IFERROR(LOOKUP(2,1/($B$1:B220=B221),$P$1:P220),0)-ABS($M221),"split",IFERROR(LOOKUP(2,1/($B$1:B220=B221),$P$1:P220),0),IFERROR(LOOKUP(2,1/($B$1:B220=B221),$P$1:P220),0)))</x:f>
      </x:c>
      <x:c r="Q221" t="str">
        <x:f>IFERROR($P221/$O221,"")</x:f>
      </x:c>
      <x:c r="R221" t="str">
        <x:f>IF(LOWER($D221)="sell",$M221-$N221-IFERROR(IFERROR(LOOKUP(2,1/($B$1:B220=B221),$P$1:P220),0)/IFERROR(LOOKUP(2,1/($B$1:B220=B221),$O$1:O220),0)*$E221,0),"")</x:f>
      </x:c>
      <x:c r="S221" t="str">
        <x:f>IF(COUNTA($A221:$D221)=0,"",IF($B221="","Missing symbol",IF($D221="","Missing action",IF(AND(LOWER($D221)="sell",$E221&gt;IFERROR(LOOKUP(2,1/($B$1:B220=B221),$O$1:O220),0)),"Sold more units than available","OK"))))</x:f>
      </x:c>
    </x:row>
    <x:row r="222">
      <x:c r="M222" t="str">
        <x:f>IF(COUNTA($A222:$D222)=0,"",IF($G222&lt;&gt;"",$G222,IF(AND($E222&lt;&gt;"",$F222&lt;&gt;""),$E222*$F222,""))*IF($J222&lt;&gt;"",$J222,1))</x:f>
      </x:c>
      <x:c r="N222" t="str">
        <x:f>IF(COUNTA($A222:$D222)=0,"",IF($H222&lt;&gt;"",$H222,0)*IF($J222&lt;&gt;"",$J222,1))</x:f>
      </x:c>
      <x:c r="O222" t="str">
        <x:f>IF(COUNTA($A222:$D222)=0,"",SWITCH(LOWER($D222),"buy",IFERROR(LOOKUP(2,1/($B$1:B221=B222),$O$1:O221),0)+$E222,"drip",IFERROR(LOOKUP(2,1/($B$1:B221=B222),$O$1:O221),0)+$E222,"sell",IFERROR(LOOKUP(2,1/($B$1:B221=B222),$O$1:O221),0)-$E222,"return_of_capital",IFERROR(LOOKUP(2,1/($B$1:B221=B222),$O$1:O221),0),"split",$E222,IFERROR(LOOKUP(2,1/($B$1:B221=B222),$O$1:O221),0)))</x:f>
      </x:c>
      <x:c r="P222" t="str">
        <x:f>IF(COUNTA($A222:$D222)=0,"",SWITCH(LOWER($D222),"buy",IFERROR(LOOKUP(2,1/($B$1:B221=B222),$P$1:P221),0)+$M222+$N222,"drip",IFERROR(LOOKUP(2,1/($B$1:B221=B222),$P$1:P221),0)+$M222+$N222,"sell",IFERROR(LOOKUP(2,1/($B$1:B221=B222),$P$1:P221),0)-IFERROR(IFERROR(LOOKUP(2,1/($B$1:B221=B222),$P$1:P221),0)/IFERROR(LOOKUP(2,1/($B$1:B221=B222),$O$1:O221),0)*$E222,0),"return_of_capital",IFERROR(LOOKUP(2,1/($B$1:B221=B222),$P$1:P221),0)-ABS($M222),"split",IFERROR(LOOKUP(2,1/($B$1:B221=B222),$P$1:P221),0),IFERROR(LOOKUP(2,1/($B$1:B221=B222),$P$1:P221),0)))</x:f>
      </x:c>
      <x:c r="Q222" t="str">
        <x:f>IFERROR($P222/$O222,"")</x:f>
      </x:c>
      <x:c r="R222" t="str">
        <x:f>IF(LOWER($D222)="sell",$M222-$N222-IFERROR(IFERROR(LOOKUP(2,1/($B$1:B221=B222),$P$1:P221),0)/IFERROR(LOOKUP(2,1/($B$1:B221=B222),$O$1:O221),0)*$E222,0),"")</x:f>
      </x:c>
      <x:c r="S222" t="str">
        <x:f>IF(COUNTA($A222:$D222)=0,"",IF($B222="","Missing symbol",IF($D222="","Missing action",IF(AND(LOWER($D222)="sell",$E222&gt;IFERROR(LOOKUP(2,1/($B$1:B221=B222),$O$1:O221),0)),"Sold more units than available","OK"))))</x:f>
      </x:c>
    </x:row>
    <x:row r="223">
      <x:c r="M223" t="str">
        <x:f>IF(COUNTA($A223:$D223)=0,"",IF($G223&lt;&gt;"",$G223,IF(AND($E223&lt;&gt;"",$F223&lt;&gt;""),$E223*$F223,""))*IF($J223&lt;&gt;"",$J223,1))</x:f>
      </x:c>
      <x:c r="N223" t="str">
        <x:f>IF(COUNTA($A223:$D223)=0,"",IF($H223&lt;&gt;"",$H223,0)*IF($J223&lt;&gt;"",$J223,1))</x:f>
      </x:c>
      <x:c r="O223" t="str">
        <x:f>IF(COUNTA($A223:$D223)=0,"",SWITCH(LOWER($D223),"buy",IFERROR(LOOKUP(2,1/($B$1:B222=B223),$O$1:O222),0)+$E223,"drip",IFERROR(LOOKUP(2,1/($B$1:B222=B223),$O$1:O222),0)+$E223,"sell",IFERROR(LOOKUP(2,1/($B$1:B222=B223),$O$1:O222),0)-$E223,"return_of_capital",IFERROR(LOOKUP(2,1/($B$1:B222=B223),$O$1:O222),0),"split",$E223,IFERROR(LOOKUP(2,1/($B$1:B222=B223),$O$1:O222),0)))</x:f>
      </x:c>
      <x:c r="P223" t="str">
        <x:f>IF(COUNTA($A223:$D223)=0,"",SWITCH(LOWER($D223),"buy",IFERROR(LOOKUP(2,1/($B$1:B222=B223),$P$1:P222),0)+$M223+$N223,"drip",IFERROR(LOOKUP(2,1/($B$1:B222=B223),$P$1:P222),0)+$M223+$N223,"sell",IFERROR(LOOKUP(2,1/($B$1:B222=B223),$P$1:P222),0)-IFERROR(IFERROR(LOOKUP(2,1/($B$1:B222=B223),$P$1:P222),0)/IFERROR(LOOKUP(2,1/($B$1:B222=B223),$O$1:O222),0)*$E223,0),"return_of_capital",IFERROR(LOOKUP(2,1/($B$1:B222=B223),$P$1:P222),0)-ABS($M223),"split",IFERROR(LOOKUP(2,1/($B$1:B222=B223),$P$1:P222),0),IFERROR(LOOKUP(2,1/($B$1:B222=B223),$P$1:P222),0)))</x:f>
      </x:c>
      <x:c r="Q223" t="str">
        <x:f>IFERROR($P223/$O223,"")</x:f>
      </x:c>
      <x:c r="R223" t="str">
        <x:f>IF(LOWER($D223)="sell",$M223-$N223-IFERROR(IFERROR(LOOKUP(2,1/($B$1:B222=B223),$P$1:P222),0)/IFERROR(LOOKUP(2,1/($B$1:B222=B223),$O$1:O222),0)*$E223,0),"")</x:f>
      </x:c>
      <x:c r="S223" t="str">
        <x:f>IF(COUNTA($A223:$D223)=0,"",IF($B223="","Missing symbol",IF($D223="","Missing action",IF(AND(LOWER($D223)="sell",$E223&gt;IFERROR(LOOKUP(2,1/($B$1:B222=B223),$O$1:O222),0)),"Sold more units than available","OK"))))</x:f>
      </x:c>
    </x:row>
    <x:row r="224">
      <x:c r="M224" t="str">
        <x:f>IF(COUNTA($A224:$D224)=0,"",IF($G224&lt;&gt;"",$G224,IF(AND($E224&lt;&gt;"",$F224&lt;&gt;""),$E224*$F224,""))*IF($J224&lt;&gt;"",$J224,1))</x:f>
      </x:c>
      <x:c r="N224" t="str">
        <x:f>IF(COUNTA($A224:$D224)=0,"",IF($H224&lt;&gt;"",$H224,0)*IF($J224&lt;&gt;"",$J224,1))</x:f>
      </x:c>
      <x:c r="O224" t="str">
        <x:f>IF(COUNTA($A224:$D224)=0,"",SWITCH(LOWER($D224),"buy",IFERROR(LOOKUP(2,1/($B$1:B223=B224),$O$1:O223),0)+$E224,"drip",IFERROR(LOOKUP(2,1/($B$1:B223=B224),$O$1:O223),0)+$E224,"sell",IFERROR(LOOKUP(2,1/($B$1:B223=B224),$O$1:O223),0)-$E224,"return_of_capital",IFERROR(LOOKUP(2,1/($B$1:B223=B224),$O$1:O223),0),"split",$E224,IFERROR(LOOKUP(2,1/($B$1:B223=B224),$O$1:O223),0)))</x:f>
      </x:c>
      <x:c r="P224" t="str">
        <x:f>IF(COUNTA($A224:$D224)=0,"",SWITCH(LOWER($D224),"buy",IFERROR(LOOKUP(2,1/($B$1:B223=B224),$P$1:P223),0)+$M224+$N224,"drip",IFERROR(LOOKUP(2,1/($B$1:B223=B224),$P$1:P223),0)+$M224+$N224,"sell",IFERROR(LOOKUP(2,1/($B$1:B223=B224),$P$1:P223),0)-IFERROR(IFERROR(LOOKUP(2,1/($B$1:B223=B224),$P$1:P223),0)/IFERROR(LOOKUP(2,1/($B$1:B223=B224),$O$1:O223),0)*$E224,0),"return_of_capital",IFERROR(LOOKUP(2,1/($B$1:B223=B224),$P$1:P223),0)-ABS($M224),"split",IFERROR(LOOKUP(2,1/($B$1:B223=B224),$P$1:P223),0),IFERROR(LOOKUP(2,1/($B$1:B223=B224),$P$1:P223),0)))</x:f>
      </x:c>
      <x:c r="Q224" t="str">
        <x:f>IFERROR($P224/$O224,"")</x:f>
      </x:c>
      <x:c r="R224" t="str">
        <x:f>IF(LOWER($D224)="sell",$M224-$N224-IFERROR(IFERROR(LOOKUP(2,1/($B$1:B223=B224),$P$1:P223),0)/IFERROR(LOOKUP(2,1/($B$1:B223=B224),$O$1:O223),0)*$E224,0),"")</x:f>
      </x:c>
      <x:c r="S224" t="str">
        <x:f>IF(COUNTA($A224:$D224)=0,"",IF($B224="","Missing symbol",IF($D224="","Missing action",IF(AND(LOWER($D224)="sell",$E224&gt;IFERROR(LOOKUP(2,1/($B$1:B223=B224),$O$1:O223),0)),"Sold more units than available","OK"))))</x:f>
      </x:c>
    </x:row>
    <x:row r="225">
      <x:c r="M225" t="str">
        <x:f>IF(COUNTA($A225:$D225)=0,"",IF($G225&lt;&gt;"",$G225,IF(AND($E225&lt;&gt;"",$F225&lt;&gt;""),$E225*$F225,""))*IF($J225&lt;&gt;"",$J225,1))</x:f>
      </x:c>
      <x:c r="N225" t="str">
        <x:f>IF(COUNTA($A225:$D225)=0,"",IF($H225&lt;&gt;"",$H225,0)*IF($J225&lt;&gt;"",$J225,1))</x:f>
      </x:c>
      <x:c r="O225" t="str">
        <x:f>IF(COUNTA($A225:$D225)=0,"",SWITCH(LOWER($D225),"buy",IFERROR(LOOKUP(2,1/($B$1:B224=B225),$O$1:O224),0)+$E225,"drip",IFERROR(LOOKUP(2,1/($B$1:B224=B225),$O$1:O224),0)+$E225,"sell",IFERROR(LOOKUP(2,1/($B$1:B224=B225),$O$1:O224),0)-$E225,"return_of_capital",IFERROR(LOOKUP(2,1/($B$1:B224=B225),$O$1:O224),0),"split",$E225,IFERROR(LOOKUP(2,1/($B$1:B224=B225),$O$1:O224),0)))</x:f>
      </x:c>
      <x:c r="P225" t="str">
        <x:f>IF(COUNTA($A225:$D225)=0,"",SWITCH(LOWER($D225),"buy",IFERROR(LOOKUP(2,1/($B$1:B224=B225),$P$1:P224),0)+$M225+$N225,"drip",IFERROR(LOOKUP(2,1/($B$1:B224=B225),$P$1:P224),0)+$M225+$N225,"sell",IFERROR(LOOKUP(2,1/($B$1:B224=B225),$P$1:P224),0)-IFERROR(IFERROR(LOOKUP(2,1/($B$1:B224=B225),$P$1:P224),0)/IFERROR(LOOKUP(2,1/($B$1:B224=B225),$O$1:O224),0)*$E225,0),"return_of_capital",IFERROR(LOOKUP(2,1/($B$1:B224=B225),$P$1:P224),0)-ABS($M225),"split",IFERROR(LOOKUP(2,1/($B$1:B224=B225),$P$1:P224),0),IFERROR(LOOKUP(2,1/($B$1:B224=B225),$P$1:P224),0)))</x:f>
      </x:c>
      <x:c r="Q225" t="str">
        <x:f>IFERROR($P225/$O225,"")</x:f>
      </x:c>
      <x:c r="R225" t="str">
        <x:f>IF(LOWER($D225)="sell",$M225-$N225-IFERROR(IFERROR(LOOKUP(2,1/($B$1:B224=B225),$P$1:P224),0)/IFERROR(LOOKUP(2,1/($B$1:B224=B225),$O$1:O224),0)*$E225,0),"")</x:f>
      </x:c>
      <x:c r="S225" t="str">
        <x:f>IF(COUNTA($A225:$D225)=0,"",IF($B225="","Missing symbol",IF($D225="","Missing action",IF(AND(LOWER($D225)="sell",$E225&gt;IFERROR(LOOKUP(2,1/($B$1:B224=B225),$O$1:O224),0)),"Sold more units than available","OK"))))</x:f>
      </x:c>
    </x:row>
    <x:row r="226">
      <x:c r="M226" t="str">
        <x:f>IF(COUNTA($A226:$D226)=0,"",IF($G226&lt;&gt;"",$G226,IF(AND($E226&lt;&gt;"",$F226&lt;&gt;""),$E226*$F226,""))*IF($J226&lt;&gt;"",$J226,1))</x:f>
      </x:c>
      <x:c r="N226" t="str">
        <x:f>IF(COUNTA($A226:$D226)=0,"",IF($H226&lt;&gt;"",$H226,0)*IF($J226&lt;&gt;"",$J226,1))</x:f>
      </x:c>
      <x:c r="O226" t="str">
        <x:f>IF(COUNTA($A226:$D226)=0,"",SWITCH(LOWER($D226),"buy",IFERROR(LOOKUP(2,1/($B$1:B225=B226),$O$1:O225),0)+$E226,"drip",IFERROR(LOOKUP(2,1/($B$1:B225=B226),$O$1:O225),0)+$E226,"sell",IFERROR(LOOKUP(2,1/($B$1:B225=B226),$O$1:O225),0)-$E226,"return_of_capital",IFERROR(LOOKUP(2,1/($B$1:B225=B226),$O$1:O225),0),"split",$E226,IFERROR(LOOKUP(2,1/($B$1:B225=B226),$O$1:O225),0)))</x:f>
      </x:c>
      <x:c r="P226" t="str">
        <x:f>IF(COUNTA($A226:$D226)=0,"",SWITCH(LOWER($D226),"buy",IFERROR(LOOKUP(2,1/($B$1:B225=B226),$P$1:P225),0)+$M226+$N226,"drip",IFERROR(LOOKUP(2,1/($B$1:B225=B226),$P$1:P225),0)+$M226+$N226,"sell",IFERROR(LOOKUP(2,1/($B$1:B225=B226),$P$1:P225),0)-IFERROR(IFERROR(LOOKUP(2,1/($B$1:B225=B226),$P$1:P225),0)/IFERROR(LOOKUP(2,1/($B$1:B225=B226),$O$1:O225),0)*$E226,0),"return_of_capital",IFERROR(LOOKUP(2,1/($B$1:B225=B226),$P$1:P225),0)-ABS($M226),"split",IFERROR(LOOKUP(2,1/($B$1:B225=B226),$P$1:P225),0),IFERROR(LOOKUP(2,1/($B$1:B225=B226),$P$1:P225),0)))</x:f>
      </x:c>
      <x:c r="Q226" t="str">
        <x:f>IFERROR($P226/$O226,"")</x:f>
      </x:c>
      <x:c r="R226" t="str">
        <x:f>IF(LOWER($D226)="sell",$M226-$N226-IFERROR(IFERROR(LOOKUP(2,1/($B$1:B225=B226),$P$1:P225),0)/IFERROR(LOOKUP(2,1/($B$1:B225=B226),$O$1:O225),0)*$E226,0),"")</x:f>
      </x:c>
      <x:c r="S226" t="str">
        <x:f>IF(COUNTA($A226:$D226)=0,"",IF($B226="","Missing symbol",IF($D226="","Missing action",IF(AND(LOWER($D226)="sell",$E226&gt;IFERROR(LOOKUP(2,1/($B$1:B225=B226),$O$1:O225),0)),"Sold more units than available","OK"))))</x:f>
      </x:c>
    </x:row>
    <x:row r="227">
      <x:c r="M227" t="str">
        <x:f>IF(COUNTA($A227:$D227)=0,"",IF($G227&lt;&gt;"",$G227,IF(AND($E227&lt;&gt;"",$F227&lt;&gt;""),$E227*$F227,""))*IF($J227&lt;&gt;"",$J227,1))</x:f>
      </x:c>
      <x:c r="N227" t="str">
        <x:f>IF(COUNTA($A227:$D227)=0,"",IF($H227&lt;&gt;"",$H227,0)*IF($J227&lt;&gt;"",$J227,1))</x:f>
      </x:c>
      <x:c r="O227" t="str">
        <x:f>IF(COUNTA($A227:$D227)=0,"",SWITCH(LOWER($D227),"buy",IFERROR(LOOKUP(2,1/($B$1:B226=B227),$O$1:O226),0)+$E227,"drip",IFERROR(LOOKUP(2,1/($B$1:B226=B227),$O$1:O226),0)+$E227,"sell",IFERROR(LOOKUP(2,1/($B$1:B226=B227),$O$1:O226),0)-$E227,"return_of_capital",IFERROR(LOOKUP(2,1/($B$1:B226=B227),$O$1:O226),0),"split",$E227,IFERROR(LOOKUP(2,1/($B$1:B226=B227),$O$1:O226),0)))</x:f>
      </x:c>
      <x:c r="P227" t="str">
        <x:f>IF(COUNTA($A227:$D227)=0,"",SWITCH(LOWER($D227),"buy",IFERROR(LOOKUP(2,1/($B$1:B226=B227),$P$1:P226),0)+$M227+$N227,"drip",IFERROR(LOOKUP(2,1/($B$1:B226=B227),$P$1:P226),0)+$M227+$N227,"sell",IFERROR(LOOKUP(2,1/($B$1:B226=B227),$P$1:P226),0)-IFERROR(IFERROR(LOOKUP(2,1/($B$1:B226=B227),$P$1:P226),0)/IFERROR(LOOKUP(2,1/($B$1:B226=B227),$O$1:O226),0)*$E227,0),"return_of_capital",IFERROR(LOOKUP(2,1/($B$1:B226=B227),$P$1:P226),0)-ABS($M227),"split",IFERROR(LOOKUP(2,1/($B$1:B226=B227),$P$1:P226),0),IFERROR(LOOKUP(2,1/($B$1:B226=B227),$P$1:P226),0)))</x:f>
      </x:c>
      <x:c r="Q227" t="str">
        <x:f>IFERROR($P227/$O227,"")</x:f>
      </x:c>
      <x:c r="R227" t="str">
        <x:f>IF(LOWER($D227)="sell",$M227-$N227-IFERROR(IFERROR(LOOKUP(2,1/($B$1:B226=B227),$P$1:P226),0)/IFERROR(LOOKUP(2,1/($B$1:B226=B227),$O$1:O226),0)*$E227,0),"")</x:f>
      </x:c>
      <x:c r="S227" t="str">
        <x:f>IF(COUNTA($A227:$D227)=0,"",IF($B227="","Missing symbol",IF($D227="","Missing action",IF(AND(LOWER($D227)="sell",$E227&gt;IFERROR(LOOKUP(2,1/($B$1:B226=B227),$O$1:O226),0)),"Sold more units than available","OK"))))</x:f>
      </x:c>
    </x:row>
    <x:row r="228">
      <x:c r="M228" t="str">
        <x:f>IF(COUNTA($A228:$D228)=0,"",IF($G228&lt;&gt;"",$G228,IF(AND($E228&lt;&gt;"",$F228&lt;&gt;""),$E228*$F228,""))*IF($J228&lt;&gt;"",$J228,1))</x:f>
      </x:c>
      <x:c r="N228" t="str">
        <x:f>IF(COUNTA($A228:$D228)=0,"",IF($H228&lt;&gt;"",$H228,0)*IF($J228&lt;&gt;"",$J228,1))</x:f>
      </x:c>
      <x:c r="O228" t="str">
        <x:f>IF(COUNTA($A228:$D228)=0,"",SWITCH(LOWER($D228),"buy",IFERROR(LOOKUP(2,1/($B$1:B227=B228),$O$1:O227),0)+$E228,"drip",IFERROR(LOOKUP(2,1/($B$1:B227=B228),$O$1:O227),0)+$E228,"sell",IFERROR(LOOKUP(2,1/($B$1:B227=B228),$O$1:O227),0)-$E228,"return_of_capital",IFERROR(LOOKUP(2,1/($B$1:B227=B228),$O$1:O227),0),"split",$E228,IFERROR(LOOKUP(2,1/($B$1:B227=B228),$O$1:O227),0)))</x:f>
      </x:c>
      <x:c r="P228" t="str">
        <x:f>IF(COUNTA($A228:$D228)=0,"",SWITCH(LOWER($D228),"buy",IFERROR(LOOKUP(2,1/($B$1:B227=B228),$P$1:P227),0)+$M228+$N228,"drip",IFERROR(LOOKUP(2,1/($B$1:B227=B228),$P$1:P227),0)+$M228+$N228,"sell",IFERROR(LOOKUP(2,1/($B$1:B227=B228),$P$1:P227),0)-IFERROR(IFERROR(LOOKUP(2,1/($B$1:B227=B228),$P$1:P227),0)/IFERROR(LOOKUP(2,1/($B$1:B227=B228),$O$1:O227),0)*$E228,0),"return_of_capital",IFERROR(LOOKUP(2,1/($B$1:B227=B228),$P$1:P227),0)-ABS($M228),"split",IFERROR(LOOKUP(2,1/($B$1:B227=B228),$P$1:P227),0),IFERROR(LOOKUP(2,1/($B$1:B227=B228),$P$1:P227),0)))</x:f>
      </x:c>
      <x:c r="Q228" t="str">
        <x:f>IFERROR($P228/$O228,"")</x:f>
      </x:c>
      <x:c r="R228" t="str">
        <x:f>IF(LOWER($D228)="sell",$M228-$N228-IFERROR(IFERROR(LOOKUP(2,1/($B$1:B227=B228),$P$1:P227),0)/IFERROR(LOOKUP(2,1/($B$1:B227=B228),$O$1:O227),0)*$E228,0),"")</x:f>
      </x:c>
      <x:c r="S228" t="str">
        <x:f>IF(COUNTA($A228:$D228)=0,"",IF($B228="","Missing symbol",IF($D228="","Missing action",IF(AND(LOWER($D228)="sell",$E228&gt;IFERROR(LOOKUP(2,1/($B$1:B227=B228),$O$1:O227),0)),"Sold more units than available","OK"))))</x:f>
      </x:c>
    </x:row>
    <x:row r="229">
      <x:c r="M229" t="str">
        <x:f>IF(COUNTA($A229:$D229)=0,"",IF($G229&lt;&gt;"",$G229,IF(AND($E229&lt;&gt;"",$F229&lt;&gt;""),$E229*$F229,""))*IF($J229&lt;&gt;"",$J229,1))</x:f>
      </x:c>
      <x:c r="N229" t="str">
        <x:f>IF(COUNTA($A229:$D229)=0,"",IF($H229&lt;&gt;"",$H229,0)*IF($J229&lt;&gt;"",$J229,1))</x:f>
      </x:c>
      <x:c r="O229" t="str">
        <x:f>IF(COUNTA($A229:$D229)=0,"",SWITCH(LOWER($D229),"buy",IFERROR(LOOKUP(2,1/($B$1:B228=B229),$O$1:O228),0)+$E229,"drip",IFERROR(LOOKUP(2,1/($B$1:B228=B229),$O$1:O228),0)+$E229,"sell",IFERROR(LOOKUP(2,1/($B$1:B228=B229),$O$1:O228),0)-$E229,"return_of_capital",IFERROR(LOOKUP(2,1/($B$1:B228=B229),$O$1:O228),0),"split",$E229,IFERROR(LOOKUP(2,1/($B$1:B228=B229),$O$1:O228),0)))</x:f>
      </x:c>
      <x:c r="P229" t="str">
        <x:f>IF(COUNTA($A229:$D229)=0,"",SWITCH(LOWER($D229),"buy",IFERROR(LOOKUP(2,1/($B$1:B228=B229),$P$1:P228),0)+$M229+$N229,"drip",IFERROR(LOOKUP(2,1/($B$1:B228=B229),$P$1:P228),0)+$M229+$N229,"sell",IFERROR(LOOKUP(2,1/($B$1:B228=B229),$P$1:P228),0)-IFERROR(IFERROR(LOOKUP(2,1/($B$1:B228=B229),$P$1:P228),0)/IFERROR(LOOKUP(2,1/($B$1:B228=B229),$O$1:O228),0)*$E229,0),"return_of_capital",IFERROR(LOOKUP(2,1/($B$1:B228=B229),$P$1:P228),0)-ABS($M229),"split",IFERROR(LOOKUP(2,1/($B$1:B228=B229),$P$1:P228),0),IFERROR(LOOKUP(2,1/($B$1:B228=B229),$P$1:P228),0)))</x:f>
      </x:c>
      <x:c r="Q229" t="str">
        <x:f>IFERROR($P229/$O229,"")</x:f>
      </x:c>
      <x:c r="R229" t="str">
        <x:f>IF(LOWER($D229)="sell",$M229-$N229-IFERROR(IFERROR(LOOKUP(2,1/($B$1:B228=B229),$P$1:P228),0)/IFERROR(LOOKUP(2,1/($B$1:B228=B229),$O$1:O228),0)*$E229,0),"")</x:f>
      </x:c>
      <x:c r="S229" t="str">
        <x:f>IF(COUNTA($A229:$D229)=0,"",IF($B229="","Missing symbol",IF($D229="","Missing action",IF(AND(LOWER($D229)="sell",$E229&gt;IFERROR(LOOKUP(2,1/($B$1:B228=B229),$O$1:O228),0)),"Sold more units than available","OK"))))</x:f>
      </x:c>
    </x:row>
    <x:row r="230">
      <x:c r="M230" t="str">
        <x:f>IF(COUNTA($A230:$D230)=0,"",IF($G230&lt;&gt;"",$G230,IF(AND($E230&lt;&gt;"",$F230&lt;&gt;""),$E230*$F230,""))*IF($J230&lt;&gt;"",$J230,1))</x:f>
      </x:c>
      <x:c r="N230" t="str">
        <x:f>IF(COUNTA($A230:$D230)=0,"",IF($H230&lt;&gt;"",$H230,0)*IF($J230&lt;&gt;"",$J230,1))</x:f>
      </x:c>
      <x:c r="O230" t="str">
        <x:f>IF(COUNTA($A230:$D230)=0,"",SWITCH(LOWER($D230),"buy",IFERROR(LOOKUP(2,1/($B$1:B229=B230),$O$1:O229),0)+$E230,"drip",IFERROR(LOOKUP(2,1/($B$1:B229=B230),$O$1:O229),0)+$E230,"sell",IFERROR(LOOKUP(2,1/($B$1:B229=B230),$O$1:O229),0)-$E230,"return_of_capital",IFERROR(LOOKUP(2,1/($B$1:B229=B230),$O$1:O229),0),"split",$E230,IFERROR(LOOKUP(2,1/($B$1:B229=B230),$O$1:O229),0)))</x:f>
      </x:c>
      <x:c r="P230" t="str">
        <x:f>IF(COUNTA($A230:$D230)=0,"",SWITCH(LOWER($D230),"buy",IFERROR(LOOKUP(2,1/($B$1:B229=B230),$P$1:P229),0)+$M230+$N230,"drip",IFERROR(LOOKUP(2,1/($B$1:B229=B230),$P$1:P229),0)+$M230+$N230,"sell",IFERROR(LOOKUP(2,1/($B$1:B229=B230),$P$1:P229),0)-IFERROR(IFERROR(LOOKUP(2,1/($B$1:B229=B230),$P$1:P229),0)/IFERROR(LOOKUP(2,1/($B$1:B229=B230),$O$1:O229),0)*$E230,0),"return_of_capital",IFERROR(LOOKUP(2,1/($B$1:B229=B230),$P$1:P229),0)-ABS($M230),"split",IFERROR(LOOKUP(2,1/($B$1:B229=B230),$P$1:P229),0),IFERROR(LOOKUP(2,1/($B$1:B229=B230),$P$1:P229),0)))</x:f>
      </x:c>
      <x:c r="Q230" t="str">
        <x:f>IFERROR($P230/$O230,"")</x:f>
      </x:c>
      <x:c r="R230" t="str">
        <x:f>IF(LOWER($D230)="sell",$M230-$N230-IFERROR(IFERROR(LOOKUP(2,1/($B$1:B229=B230),$P$1:P229),0)/IFERROR(LOOKUP(2,1/($B$1:B229=B230),$O$1:O229),0)*$E230,0),"")</x:f>
      </x:c>
      <x:c r="S230" t="str">
        <x:f>IF(COUNTA($A230:$D230)=0,"",IF($B230="","Missing symbol",IF($D230="","Missing action",IF(AND(LOWER($D230)="sell",$E230&gt;IFERROR(LOOKUP(2,1/($B$1:B229=B230),$O$1:O229),0)),"Sold more units than available","OK"))))</x:f>
      </x:c>
    </x:row>
    <x:row r="231">
      <x:c r="M231" t="str">
        <x:f>IF(COUNTA($A231:$D231)=0,"",IF($G231&lt;&gt;"",$G231,IF(AND($E231&lt;&gt;"",$F231&lt;&gt;""),$E231*$F231,""))*IF($J231&lt;&gt;"",$J231,1))</x:f>
      </x:c>
      <x:c r="N231" t="str">
        <x:f>IF(COUNTA($A231:$D231)=0,"",IF($H231&lt;&gt;"",$H231,0)*IF($J231&lt;&gt;"",$J231,1))</x:f>
      </x:c>
      <x:c r="O231" t="str">
        <x:f>IF(COUNTA($A231:$D231)=0,"",SWITCH(LOWER($D231),"buy",IFERROR(LOOKUP(2,1/($B$1:B230=B231),$O$1:O230),0)+$E231,"drip",IFERROR(LOOKUP(2,1/($B$1:B230=B231),$O$1:O230),0)+$E231,"sell",IFERROR(LOOKUP(2,1/($B$1:B230=B231),$O$1:O230),0)-$E231,"return_of_capital",IFERROR(LOOKUP(2,1/($B$1:B230=B231),$O$1:O230),0),"split",$E231,IFERROR(LOOKUP(2,1/($B$1:B230=B231),$O$1:O230),0)))</x:f>
      </x:c>
      <x:c r="P231" t="str">
        <x:f>IF(COUNTA($A231:$D231)=0,"",SWITCH(LOWER($D231),"buy",IFERROR(LOOKUP(2,1/($B$1:B230=B231),$P$1:P230),0)+$M231+$N231,"drip",IFERROR(LOOKUP(2,1/($B$1:B230=B231),$P$1:P230),0)+$M231+$N231,"sell",IFERROR(LOOKUP(2,1/($B$1:B230=B231),$P$1:P230),0)-IFERROR(IFERROR(LOOKUP(2,1/($B$1:B230=B231),$P$1:P230),0)/IFERROR(LOOKUP(2,1/($B$1:B230=B231),$O$1:O230),0)*$E231,0),"return_of_capital",IFERROR(LOOKUP(2,1/($B$1:B230=B231),$P$1:P230),0)-ABS($M231),"split",IFERROR(LOOKUP(2,1/($B$1:B230=B231),$P$1:P230),0),IFERROR(LOOKUP(2,1/($B$1:B230=B231),$P$1:P230),0)))</x:f>
      </x:c>
      <x:c r="Q231" t="str">
        <x:f>IFERROR($P231/$O231,"")</x:f>
      </x:c>
      <x:c r="R231" t="str">
        <x:f>IF(LOWER($D231)="sell",$M231-$N231-IFERROR(IFERROR(LOOKUP(2,1/($B$1:B230=B231),$P$1:P230),0)/IFERROR(LOOKUP(2,1/($B$1:B230=B231),$O$1:O230),0)*$E231,0),"")</x:f>
      </x:c>
      <x:c r="S231" t="str">
        <x:f>IF(COUNTA($A231:$D231)=0,"",IF($B231="","Missing symbol",IF($D231="","Missing action",IF(AND(LOWER($D231)="sell",$E231&gt;IFERROR(LOOKUP(2,1/($B$1:B230=B231),$O$1:O230),0)),"Sold more units than available","OK"))))</x:f>
      </x:c>
    </x:row>
    <x:row r="232">
      <x:c r="M232" t="str">
        <x:f>IF(COUNTA($A232:$D232)=0,"",IF($G232&lt;&gt;"",$G232,IF(AND($E232&lt;&gt;"",$F232&lt;&gt;""),$E232*$F232,""))*IF($J232&lt;&gt;"",$J232,1))</x:f>
      </x:c>
      <x:c r="N232" t="str">
        <x:f>IF(COUNTA($A232:$D232)=0,"",IF($H232&lt;&gt;"",$H232,0)*IF($J232&lt;&gt;"",$J232,1))</x:f>
      </x:c>
      <x:c r="O232" t="str">
        <x:f>IF(COUNTA($A232:$D232)=0,"",SWITCH(LOWER($D232),"buy",IFERROR(LOOKUP(2,1/($B$1:B231=B232),$O$1:O231),0)+$E232,"drip",IFERROR(LOOKUP(2,1/($B$1:B231=B232),$O$1:O231),0)+$E232,"sell",IFERROR(LOOKUP(2,1/($B$1:B231=B232),$O$1:O231),0)-$E232,"return_of_capital",IFERROR(LOOKUP(2,1/($B$1:B231=B232),$O$1:O231),0),"split",$E232,IFERROR(LOOKUP(2,1/($B$1:B231=B232),$O$1:O231),0)))</x:f>
      </x:c>
      <x:c r="P232" t="str">
        <x:f>IF(COUNTA($A232:$D232)=0,"",SWITCH(LOWER($D232),"buy",IFERROR(LOOKUP(2,1/($B$1:B231=B232),$P$1:P231),0)+$M232+$N232,"drip",IFERROR(LOOKUP(2,1/($B$1:B231=B232),$P$1:P231),0)+$M232+$N232,"sell",IFERROR(LOOKUP(2,1/($B$1:B231=B232),$P$1:P231),0)-IFERROR(IFERROR(LOOKUP(2,1/($B$1:B231=B232),$P$1:P231),0)/IFERROR(LOOKUP(2,1/($B$1:B231=B232),$O$1:O231),0)*$E232,0),"return_of_capital",IFERROR(LOOKUP(2,1/($B$1:B231=B232),$P$1:P231),0)-ABS($M232),"split",IFERROR(LOOKUP(2,1/($B$1:B231=B232),$P$1:P231),0),IFERROR(LOOKUP(2,1/($B$1:B231=B232),$P$1:P231),0)))</x:f>
      </x:c>
      <x:c r="Q232" t="str">
        <x:f>IFERROR($P232/$O232,"")</x:f>
      </x:c>
      <x:c r="R232" t="str">
        <x:f>IF(LOWER($D232)="sell",$M232-$N232-IFERROR(IFERROR(LOOKUP(2,1/($B$1:B231=B232),$P$1:P231),0)/IFERROR(LOOKUP(2,1/($B$1:B231=B232),$O$1:O231),0)*$E232,0),"")</x:f>
      </x:c>
      <x:c r="S232" t="str">
        <x:f>IF(COUNTA($A232:$D232)=0,"",IF($B232="","Missing symbol",IF($D232="","Missing action",IF(AND(LOWER($D232)="sell",$E232&gt;IFERROR(LOOKUP(2,1/($B$1:B231=B232),$O$1:O231),0)),"Sold more units than available","OK"))))</x:f>
      </x:c>
    </x:row>
    <x:row r="233">
      <x:c r="M233" t="str">
        <x:f>IF(COUNTA($A233:$D233)=0,"",IF($G233&lt;&gt;"",$G233,IF(AND($E233&lt;&gt;"",$F233&lt;&gt;""),$E233*$F233,""))*IF($J233&lt;&gt;"",$J233,1))</x:f>
      </x:c>
      <x:c r="N233" t="str">
        <x:f>IF(COUNTA($A233:$D233)=0,"",IF($H233&lt;&gt;"",$H233,0)*IF($J233&lt;&gt;"",$J233,1))</x:f>
      </x:c>
      <x:c r="O233" t="str">
        <x:f>IF(COUNTA($A233:$D233)=0,"",SWITCH(LOWER($D233),"buy",IFERROR(LOOKUP(2,1/($B$1:B232=B233),$O$1:O232),0)+$E233,"drip",IFERROR(LOOKUP(2,1/($B$1:B232=B233),$O$1:O232),0)+$E233,"sell",IFERROR(LOOKUP(2,1/($B$1:B232=B233),$O$1:O232),0)-$E233,"return_of_capital",IFERROR(LOOKUP(2,1/($B$1:B232=B233),$O$1:O232),0),"split",$E233,IFERROR(LOOKUP(2,1/($B$1:B232=B233),$O$1:O232),0)))</x:f>
      </x:c>
      <x:c r="P233" t="str">
        <x:f>IF(COUNTA($A233:$D233)=0,"",SWITCH(LOWER($D233),"buy",IFERROR(LOOKUP(2,1/($B$1:B232=B233),$P$1:P232),0)+$M233+$N233,"drip",IFERROR(LOOKUP(2,1/($B$1:B232=B233),$P$1:P232),0)+$M233+$N233,"sell",IFERROR(LOOKUP(2,1/($B$1:B232=B233),$P$1:P232),0)-IFERROR(IFERROR(LOOKUP(2,1/($B$1:B232=B233),$P$1:P232),0)/IFERROR(LOOKUP(2,1/($B$1:B232=B233),$O$1:O232),0)*$E233,0),"return_of_capital",IFERROR(LOOKUP(2,1/($B$1:B232=B233),$P$1:P232),0)-ABS($M233),"split",IFERROR(LOOKUP(2,1/($B$1:B232=B233),$P$1:P232),0),IFERROR(LOOKUP(2,1/($B$1:B232=B233),$P$1:P232),0)))</x:f>
      </x:c>
      <x:c r="Q233" t="str">
        <x:f>IFERROR($P233/$O233,"")</x:f>
      </x:c>
      <x:c r="R233" t="str">
        <x:f>IF(LOWER($D233)="sell",$M233-$N233-IFERROR(IFERROR(LOOKUP(2,1/($B$1:B232=B233),$P$1:P232),0)/IFERROR(LOOKUP(2,1/($B$1:B232=B233),$O$1:O232),0)*$E233,0),"")</x:f>
      </x:c>
      <x:c r="S233" t="str">
        <x:f>IF(COUNTA($A233:$D233)=0,"",IF($B233="","Missing symbol",IF($D233="","Missing action",IF(AND(LOWER($D233)="sell",$E233&gt;IFERROR(LOOKUP(2,1/($B$1:B232=B233),$O$1:O232),0)),"Sold more units than available","OK"))))</x:f>
      </x:c>
    </x:row>
    <x:row r="234">
      <x:c r="M234" t="str">
        <x:f>IF(COUNTA($A234:$D234)=0,"",IF($G234&lt;&gt;"",$G234,IF(AND($E234&lt;&gt;"",$F234&lt;&gt;""),$E234*$F234,""))*IF($J234&lt;&gt;"",$J234,1))</x:f>
      </x:c>
      <x:c r="N234" t="str">
        <x:f>IF(COUNTA($A234:$D234)=0,"",IF($H234&lt;&gt;"",$H234,0)*IF($J234&lt;&gt;"",$J234,1))</x:f>
      </x:c>
      <x:c r="O234" t="str">
        <x:f>IF(COUNTA($A234:$D234)=0,"",SWITCH(LOWER($D234),"buy",IFERROR(LOOKUP(2,1/($B$1:B233=B234),$O$1:O233),0)+$E234,"drip",IFERROR(LOOKUP(2,1/($B$1:B233=B234),$O$1:O233),0)+$E234,"sell",IFERROR(LOOKUP(2,1/($B$1:B233=B234),$O$1:O233),0)-$E234,"return_of_capital",IFERROR(LOOKUP(2,1/($B$1:B233=B234),$O$1:O233),0),"split",$E234,IFERROR(LOOKUP(2,1/($B$1:B233=B234),$O$1:O233),0)))</x:f>
      </x:c>
      <x:c r="P234" t="str">
        <x:f>IF(COUNTA($A234:$D234)=0,"",SWITCH(LOWER($D234),"buy",IFERROR(LOOKUP(2,1/($B$1:B233=B234),$P$1:P233),0)+$M234+$N234,"drip",IFERROR(LOOKUP(2,1/($B$1:B233=B234),$P$1:P233),0)+$M234+$N234,"sell",IFERROR(LOOKUP(2,1/($B$1:B233=B234),$P$1:P233),0)-IFERROR(IFERROR(LOOKUP(2,1/($B$1:B233=B234),$P$1:P233),0)/IFERROR(LOOKUP(2,1/($B$1:B233=B234),$O$1:O233),0)*$E234,0),"return_of_capital",IFERROR(LOOKUP(2,1/($B$1:B233=B234),$P$1:P233),0)-ABS($M234),"split",IFERROR(LOOKUP(2,1/($B$1:B233=B234),$P$1:P233),0),IFERROR(LOOKUP(2,1/($B$1:B233=B234),$P$1:P233),0)))</x:f>
      </x:c>
      <x:c r="Q234" t="str">
        <x:f>IFERROR($P234/$O234,"")</x:f>
      </x:c>
      <x:c r="R234" t="str">
        <x:f>IF(LOWER($D234)="sell",$M234-$N234-IFERROR(IFERROR(LOOKUP(2,1/($B$1:B233=B234),$P$1:P233),0)/IFERROR(LOOKUP(2,1/($B$1:B233=B234),$O$1:O233),0)*$E234,0),"")</x:f>
      </x:c>
      <x:c r="S234" t="str">
        <x:f>IF(COUNTA($A234:$D234)=0,"",IF($B234="","Missing symbol",IF($D234="","Missing action",IF(AND(LOWER($D234)="sell",$E234&gt;IFERROR(LOOKUP(2,1/($B$1:B233=B234),$O$1:O233),0)),"Sold more units than available","OK"))))</x:f>
      </x:c>
    </x:row>
    <x:row r="235">
      <x:c r="M235" t="str">
        <x:f>IF(COUNTA($A235:$D235)=0,"",IF($G235&lt;&gt;"",$G235,IF(AND($E235&lt;&gt;"",$F235&lt;&gt;""),$E235*$F235,""))*IF($J235&lt;&gt;"",$J235,1))</x:f>
      </x:c>
      <x:c r="N235" t="str">
        <x:f>IF(COUNTA($A235:$D235)=0,"",IF($H235&lt;&gt;"",$H235,0)*IF($J235&lt;&gt;"",$J235,1))</x:f>
      </x:c>
      <x:c r="O235" t="str">
        <x:f>IF(COUNTA($A235:$D235)=0,"",SWITCH(LOWER($D235),"buy",IFERROR(LOOKUP(2,1/($B$1:B234=B235),$O$1:O234),0)+$E235,"drip",IFERROR(LOOKUP(2,1/($B$1:B234=B235),$O$1:O234),0)+$E235,"sell",IFERROR(LOOKUP(2,1/($B$1:B234=B235),$O$1:O234),0)-$E235,"return_of_capital",IFERROR(LOOKUP(2,1/($B$1:B234=B235),$O$1:O234),0),"split",$E235,IFERROR(LOOKUP(2,1/($B$1:B234=B235),$O$1:O234),0)))</x:f>
      </x:c>
      <x:c r="P235" t="str">
        <x:f>IF(COUNTA($A235:$D235)=0,"",SWITCH(LOWER($D235),"buy",IFERROR(LOOKUP(2,1/($B$1:B234=B235),$P$1:P234),0)+$M235+$N235,"drip",IFERROR(LOOKUP(2,1/($B$1:B234=B235),$P$1:P234),0)+$M235+$N235,"sell",IFERROR(LOOKUP(2,1/($B$1:B234=B235),$P$1:P234),0)-IFERROR(IFERROR(LOOKUP(2,1/($B$1:B234=B235),$P$1:P234),0)/IFERROR(LOOKUP(2,1/($B$1:B234=B235),$O$1:O234),0)*$E235,0),"return_of_capital",IFERROR(LOOKUP(2,1/($B$1:B234=B235),$P$1:P234),0)-ABS($M235),"split",IFERROR(LOOKUP(2,1/($B$1:B234=B235),$P$1:P234),0),IFERROR(LOOKUP(2,1/($B$1:B234=B235),$P$1:P234),0)))</x:f>
      </x:c>
      <x:c r="Q235" t="str">
        <x:f>IFERROR($P235/$O235,"")</x:f>
      </x:c>
      <x:c r="R235" t="str">
        <x:f>IF(LOWER($D235)="sell",$M235-$N235-IFERROR(IFERROR(LOOKUP(2,1/($B$1:B234=B235),$P$1:P234),0)/IFERROR(LOOKUP(2,1/($B$1:B234=B235),$O$1:O234),0)*$E235,0),"")</x:f>
      </x:c>
      <x:c r="S235" t="str">
        <x:f>IF(COUNTA($A235:$D235)=0,"",IF($B235="","Missing symbol",IF($D235="","Missing action",IF(AND(LOWER($D235)="sell",$E235&gt;IFERROR(LOOKUP(2,1/($B$1:B234=B235),$O$1:O234),0)),"Sold more units than available","OK"))))</x:f>
      </x:c>
    </x:row>
    <x:row r="236">
      <x:c r="M236" t="str">
        <x:f>IF(COUNTA($A236:$D236)=0,"",IF($G236&lt;&gt;"",$G236,IF(AND($E236&lt;&gt;"",$F236&lt;&gt;""),$E236*$F236,""))*IF($J236&lt;&gt;"",$J236,1))</x:f>
      </x:c>
      <x:c r="N236" t="str">
        <x:f>IF(COUNTA($A236:$D236)=0,"",IF($H236&lt;&gt;"",$H236,0)*IF($J236&lt;&gt;"",$J236,1))</x:f>
      </x:c>
      <x:c r="O236" t="str">
        <x:f>IF(COUNTA($A236:$D236)=0,"",SWITCH(LOWER($D236),"buy",IFERROR(LOOKUP(2,1/($B$1:B235=B236),$O$1:O235),0)+$E236,"drip",IFERROR(LOOKUP(2,1/($B$1:B235=B236),$O$1:O235),0)+$E236,"sell",IFERROR(LOOKUP(2,1/($B$1:B235=B236),$O$1:O235),0)-$E236,"return_of_capital",IFERROR(LOOKUP(2,1/($B$1:B235=B236),$O$1:O235),0),"split",$E236,IFERROR(LOOKUP(2,1/($B$1:B235=B236),$O$1:O235),0)))</x:f>
      </x:c>
      <x:c r="P236" t="str">
        <x:f>IF(COUNTA($A236:$D236)=0,"",SWITCH(LOWER($D236),"buy",IFERROR(LOOKUP(2,1/($B$1:B235=B236),$P$1:P235),0)+$M236+$N236,"drip",IFERROR(LOOKUP(2,1/($B$1:B235=B236),$P$1:P235),0)+$M236+$N236,"sell",IFERROR(LOOKUP(2,1/($B$1:B235=B236),$P$1:P235),0)-IFERROR(IFERROR(LOOKUP(2,1/($B$1:B235=B236),$P$1:P235),0)/IFERROR(LOOKUP(2,1/($B$1:B235=B236),$O$1:O235),0)*$E236,0),"return_of_capital",IFERROR(LOOKUP(2,1/($B$1:B235=B236),$P$1:P235),0)-ABS($M236),"split",IFERROR(LOOKUP(2,1/($B$1:B235=B236),$P$1:P235),0),IFERROR(LOOKUP(2,1/($B$1:B235=B236),$P$1:P235),0)))</x:f>
      </x:c>
      <x:c r="Q236" t="str">
        <x:f>IFERROR($P236/$O236,"")</x:f>
      </x:c>
      <x:c r="R236" t="str">
        <x:f>IF(LOWER($D236)="sell",$M236-$N236-IFERROR(IFERROR(LOOKUP(2,1/($B$1:B235=B236),$P$1:P235),0)/IFERROR(LOOKUP(2,1/($B$1:B235=B236),$O$1:O235),0)*$E236,0),"")</x:f>
      </x:c>
      <x:c r="S236" t="str">
        <x:f>IF(COUNTA($A236:$D236)=0,"",IF($B236="","Missing symbol",IF($D236="","Missing action",IF(AND(LOWER($D236)="sell",$E236&gt;IFERROR(LOOKUP(2,1/($B$1:B235=B236),$O$1:O235),0)),"Sold more units than available","OK"))))</x:f>
      </x:c>
    </x:row>
    <x:row r="237">
      <x:c r="M237" t="str">
        <x:f>IF(COUNTA($A237:$D237)=0,"",IF($G237&lt;&gt;"",$G237,IF(AND($E237&lt;&gt;"",$F237&lt;&gt;""),$E237*$F237,""))*IF($J237&lt;&gt;"",$J237,1))</x:f>
      </x:c>
      <x:c r="N237" t="str">
        <x:f>IF(COUNTA($A237:$D237)=0,"",IF($H237&lt;&gt;"",$H237,0)*IF($J237&lt;&gt;"",$J237,1))</x:f>
      </x:c>
      <x:c r="O237" t="str">
        <x:f>IF(COUNTA($A237:$D237)=0,"",SWITCH(LOWER($D237),"buy",IFERROR(LOOKUP(2,1/($B$1:B236=B237),$O$1:O236),0)+$E237,"drip",IFERROR(LOOKUP(2,1/($B$1:B236=B237),$O$1:O236),0)+$E237,"sell",IFERROR(LOOKUP(2,1/($B$1:B236=B237),$O$1:O236),0)-$E237,"return_of_capital",IFERROR(LOOKUP(2,1/($B$1:B236=B237),$O$1:O236),0),"split",$E237,IFERROR(LOOKUP(2,1/($B$1:B236=B237),$O$1:O236),0)))</x:f>
      </x:c>
      <x:c r="P237" t="str">
        <x:f>IF(COUNTA($A237:$D237)=0,"",SWITCH(LOWER($D237),"buy",IFERROR(LOOKUP(2,1/($B$1:B236=B237),$P$1:P236),0)+$M237+$N237,"drip",IFERROR(LOOKUP(2,1/($B$1:B236=B237),$P$1:P236),0)+$M237+$N237,"sell",IFERROR(LOOKUP(2,1/($B$1:B236=B237),$P$1:P236),0)-IFERROR(IFERROR(LOOKUP(2,1/($B$1:B236=B237),$P$1:P236),0)/IFERROR(LOOKUP(2,1/($B$1:B236=B237),$O$1:O236),0)*$E237,0),"return_of_capital",IFERROR(LOOKUP(2,1/($B$1:B236=B237),$P$1:P236),0)-ABS($M237),"split",IFERROR(LOOKUP(2,1/($B$1:B236=B237),$P$1:P236),0),IFERROR(LOOKUP(2,1/($B$1:B236=B237),$P$1:P236),0)))</x:f>
      </x:c>
      <x:c r="Q237" t="str">
        <x:f>IFERROR($P237/$O237,"")</x:f>
      </x:c>
      <x:c r="R237" t="str">
        <x:f>IF(LOWER($D237)="sell",$M237-$N237-IFERROR(IFERROR(LOOKUP(2,1/($B$1:B236=B237),$P$1:P236),0)/IFERROR(LOOKUP(2,1/($B$1:B236=B237),$O$1:O236),0)*$E237,0),"")</x:f>
      </x:c>
      <x:c r="S237" t="str">
        <x:f>IF(COUNTA($A237:$D237)=0,"",IF($B237="","Missing symbol",IF($D237="","Missing action",IF(AND(LOWER($D237)="sell",$E237&gt;IFERROR(LOOKUP(2,1/($B$1:B236=B237),$O$1:O236),0)),"Sold more units than available","OK"))))</x:f>
      </x:c>
    </x:row>
    <x:row r="238">
      <x:c r="M238" t="str">
        <x:f>IF(COUNTA($A238:$D238)=0,"",IF($G238&lt;&gt;"",$G238,IF(AND($E238&lt;&gt;"",$F238&lt;&gt;""),$E238*$F238,""))*IF($J238&lt;&gt;"",$J238,1))</x:f>
      </x:c>
      <x:c r="N238" t="str">
        <x:f>IF(COUNTA($A238:$D238)=0,"",IF($H238&lt;&gt;"",$H238,0)*IF($J238&lt;&gt;"",$J238,1))</x:f>
      </x:c>
      <x:c r="O238" t="str">
        <x:f>IF(COUNTA($A238:$D238)=0,"",SWITCH(LOWER($D238),"buy",IFERROR(LOOKUP(2,1/($B$1:B237=B238),$O$1:O237),0)+$E238,"drip",IFERROR(LOOKUP(2,1/($B$1:B237=B238),$O$1:O237),0)+$E238,"sell",IFERROR(LOOKUP(2,1/($B$1:B237=B238),$O$1:O237),0)-$E238,"return_of_capital",IFERROR(LOOKUP(2,1/($B$1:B237=B238),$O$1:O237),0),"split",$E238,IFERROR(LOOKUP(2,1/($B$1:B237=B238),$O$1:O237),0)))</x:f>
      </x:c>
      <x:c r="P238" t="str">
        <x:f>IF(COUNTA($A238:$D238)=0,"",SWITCH(LOWER($D238),"buy",IFERROR(LOOKUP(2,1/($B$1:B237=B238),$P$1:P237),0)+$M238+$N238,"drip",IFERROR(LOOKUP(2,1/($B$1:B237=B238),$P$1:P237),0)+$M238+$N238,"sell",IFERROR(LOOKUP(2,1/($B$1:B237=B238),$P$1:P237),0)-IFERROR(IFERROR(LOOKUP(2,1/($B$1:B237=B238),$P$1:P237),0)/IFERROR(LOOKUP(2,1/($B$1:B237=B238),$O$1:O237),0)*$E238,0),"return_of_capital",IFERROR(LOOKUP(2,1/($B$1:B237=B238),$P$1:P237),0)-ABS($M238),"split",IFERROR(LOOKUP(2,1/($B$1:B237=B238),$P$1:P237),0),IFERROR(LOOKUP(2,1/($B$1:B237=B238),$P$1:P237),0)))</x:f>
      </x:c>
      <x:c r="Q238" t="str">
        <x:f>IFERROR($P238/$O238,"")</x:f>
      </x:c>
      <x:c r="R238" t="str">
        <x:f>IF(LOWER($D238)="sell",$M238-$N238-IFERROR(IFERROR(LOOKUP(2,1/($B$1:B237=B238),$P$1:P237),0)/IFERROR(LOOKUP(2,1/($B$1:B237=B238),$O$1:O237),0)*$E238,0),"")</x:f>
      </x:c>
      <x:c r="S238" t="str">
        <x:f>IF(COUNTA($A238:$D238)=0,"",IF($B238="","Missing symbol",IF($D238="","Missing action",IF(AND(LOWER($D238)="sell",$E238&gt;IFERROR(LOOKUP(2,1/($B$1:B237=B238),$O$1:O237),0)),"Sold more units than available","OK"))))</x:f>
      </x:c>
    </x:row>
    <x:row r="239">
      <x:c r="M239" t="str">
        <x:f>IF(COUNTA($A239:$D239)=0,"",IF($G239&lt;&gt;"",$G239,IF(AND($E239&lt;&gt;"",$F239&lt;&gt;""),$E239*$F239,""))*IF($J239&lt;&gt;"",$J239,1))</x:f>
      </x:c>
      <x:c r="N239" t="str">
        <x:f>IF(COUNTA($A239:$D239)=0,"",IF($H239&lt;&gt;"",$H239,0)*IF($J239&lt;&gt;"",$J239,1))</x:f>
      </x:c>
      <x:c r="O239" t="str">
        <x:f>IF(COUNTA($A239:$D239)=0,"",SWITCH(LOWER($D239),"buy",IFERROR(LOOKUP(2,1/($B$1:B238=B239),$O$1:O238),0)+$E239,"drip",IFERROR(LOOKUP(2,1/($B$1:B238=B239),$O$1:O238),0)+$E239,"sell",IFERROR(LOOKUP(2,1/($B$1:B238=B239),$O$1:O238),0)-$E239,"return_of_capital",IFERROR(LOOKUP(2,1/($B$1:B238=B239),$O$1:O238),0),"split",$E239,IFERROR(LOOKUP(2,1/($B$1:B238=B239),$O$1:O238),0)))</x:f>
      </x:c>
      <x:c r="P239" t="str">
        <x:f>IF(COUNTA($A239:$D239)=0,"",SWITCH(LOWER($D239),"buy",IFERROR(LOOKUP(2,1/($B$1:B238=B239),$P$1:P238),0)+$M239+$N239,"drip",IFERROR(LOOKUP(2,1/($B$1:B238=B239),$P$1:P238),0)+$M239+$N239,"sell",IFERROR(LOOKUP(2,1/($B$1:B238=B239),$P$1:P238),0)-IFERROR(IFERROR(LOOKUP(2,1/($B$1:B238=B239),$P$1:P238),0)/IFERROR(LOOKUP(2,1/($B$1:B238=B239),$O$1:O238),0)*$E239,0),"return_of_capital",IFERROR(LOOKUP(2,1/($B$1:B238=B239),$P$1:P238),0)-ABS($M239),"split",IFERROR(LOOKUP(2,1/($B$1:B238=B239),$P$1:P238),0),IFERROR(LOOKUP(2,1/($B$1:B238=B239),$P$1:P238),0)))</x:f>
      </x:c>
      <x:c r="Q239" t="str">
        <x:f>IFERROR($P239/$O239,"")</x:f>
      </x:c>
      <x:c r="R239" t="str">
        <x:f>IF(LOWER($D239)="sell",$M239-$N239-IFERROR(IFERROR(LOOKUP(2,1/($B$1:B238=B239),$P$1:P238),0)/IFERROR(LOOKUP(2,1/($B$1:B238=B239),$O$1:O238),0)*$E239,0),"")</x:f>
      </x:c>
      <x:c r="S239" t="str">
        <x:f>IF(COUNTA($A239:$D239)=0,"",IF($B239="","Missing symbol",IF($D239="","Missing action",IF(AND(LOWER($D239)="sell",$E239&gt;IFERROR(LOOKUP(2,1/($B$1:B238=B239),$O$1:O238),0)),"Sold more units than available","OK"))))</x:f>
      </x:c>
    </x:row>
    <x:row r="240">
      <x:c r="M240" t="str">
        <x:f>IF(COUNTA($A240:$D240)=0,"",IF($G240&lt;&gt;"",$G240,IF(AND($E240&lt;&gt;"",$F240&lt;&gt;""),$E240*$F240,""))*IF($J240&lt;&gt;"",$J240,1))</x:f>
      </x:c>
      <x:c r="N240" t="str">
        <x:f>IF(COUNTA($A240:$D240)=0,"",IF($H240&lt;&gt;"",$H240,0)*IF($J240&lt;&gt;"",$J240,1))</x:f>
      </x:c>
      <x:c r="O240" t="str">
        <x:f>IF(COUNTA($A240:$D240)=0,"",SWITCH(LOWER($D240),"buy",IFERROR(LOOKUP(2,1/($B$1:B239=B240),$O$1:O239),0)+$E240,"drip",IFERROR(LOOKUP(2,1/($B$1:B239=B240),$O$1:O239),0)+$E240,"sell",IFERROR(LOOKUP(2,1/($B$1:B239=B240),$O$1:O239),0)-$E240,"return_of_capital",IFERROR(LOOKUP(2,1/($B$1:B239=B240),$O$1:O239),0),"split",$E240,IFERROR(LOOKUP(2,1/($B$1:B239=B240),$O$1:O239),0)))</x:f>
      </x:c>
      <x:c r="P240" t="str">
        <x:f>IF(COUNTA($A240:$D240)=0,"",SWITCH(LOWER($D240),"buy",IFERROR(LOOKUP(2,1/($B$1:B239=B240),$P$1:P239),0)+$M240+$N240,"drip",IFERROR(LOOKUP(2,1/($B$1:B239=B240),$P$1:P239),0)+$M240+$N240,"sell",IFERROR(LOOKUP(2,1/($B$1:B239=B240),$P$1:P239),0)-IFERROR(IFERROR(LOOKUP(2,1/($B$1:B239=B240),$P$1:P239),0)/IFERROR(LOOKUP(2,1/($B$1:B239=B240),$O$1:O239),0)*$E240,0),"return_of_capital",IFERROR(LOOKUP(2,1/($B$1:B239=B240),$P$1:P239),0)-ABS($M240),"split",IFERROR(LOOKUP(2,1/($B$1:B239=B240),$P$1:P239),0),IFERROR(LOOKUP(2,1/($B$1:B239=B240),$P$1:P239),0)))</x:f>
      </x:c>
      <x:c r="Q240" t="str">
        <x:f>IFERROR($P240/$O240,"")</x:f>
      </x:c>
      <x:c r="R240" t="str">
        <x:f>IF(LOWER($D240)="sell",$M240-$N240-IFERROR(IFERROR(LOOKUP(2,1/($B$1:B239=B240),$P$1:P239),0)/IFERROR(LOOKUP(2,1/($B$1:B239=B240),$O$1:O239),0)*$E240,0),"")</x:f>
      </x:c>
      <x:c r="S240" t="str">
        <x:f>IF(COUNTA($A240:$D240)=0,"",IF($B240="","Missing symbol",IF($D240="","Missing action",IF(AND(LOWER($D240)="sell",$E240&gt;IFERROR(LOOKUP(2,1/($B$1:B239=B240),$O$1:O239),0)),"Sold more units than available","OK"))))</x:f>
      </x:c>
    </x:row>
    <x:row r="241">
      <x:c r="M241" t="str">
        <x:f>IF(COUNTA($A241:$D241)=0,"",IF($G241&lt;&gt;"",$G241,IF(AND($E241&lt;&gt;"",$F241&lt;&gt;""),$E241*$F241,""))*IF($J241&lt;&gt;"",$J241,1))</x:f>
      </x:c>
      <x:c r="N241" t="str">
        <x:f>IF(COUNTA($A241:$D241)=0,"",IF($H241&lt;&gt;"",$H241,0)*IF($J241&lt;&gt;"",$J241,1))</x:f>
      </x:c>
      <x:c r="O241" t="str">
        <x:f>IF(COUNTA($A241:$D241)=0,"",SWITCH(LOWER($D241),"buy",IFERROR(LOOKUP(2,1/($B$1:B240=B241),$O$1:O240),0)+$E241,"drip",IFERROR(LOOKUP(2,1/($B$1:B240=B241),$O$1:O240),0)+$E241,"sell",IFERROR(LOOKUP(2,1/($B$1:B240=B241),$O$1:O240),0)-$E241,"return_of_capital",IFERROR(LOOKUP(2,1/($B$1:B240=B241),$O$1:O240),0),"split",$E241,IFERROR(LOOKUP(2,1/($B$1:B240=B241),$O$1:O240),0)))</x:f>
      </x:c>
      <x:c r="P241" t="str">
        <x:f>IF(COUNTA($A241:$D241)=0,"",SWITCH(LOWER($D241),"buy",IFERROR(LOOKUP(2,1/($B$1:B240=B241),$P$1:P240),0)+$M241+$N241,"drip",IFERROR(LOOKUP(2,1/($B$1:B240=B241),$P$1:P240),0)+$M241+$N241,"sell",IFERROR(LOOKUP(2,1/($B$1:B240=B241),$P$1:P240),0)-IFERROR(IFERROR(LOOKUP(2,1/($B$1:B240=B241),$P$1:P240),0)/IFERROR(LOOKUP(2,1/($B$1:B240=B241),$O$1:O240),0)*$E241,0),"return_of_capital",IFERROR(LOOKUP(2,1/($B$1:B240=B241),$P$1:P240),0)-ABS($M241),"split",IFERROR(LOOKUP(2,1/($B$1:B240=B241),$P$1:P240),0),IFERROR(LOOKUP(2,1/($B$1:B240=B241),$P$1:P240),0)))</x:f>
      </x:c>
      <x:c r="Q241" t="str">
        <x:f>IFERROR($P241/$O241,"")</x:f>
      </x:c>
      <x:c r="R241" t="str">
        <x:f>IF(LOWER($D241)="sell",$M241-$N241-IFERROR(IFERROR(LOOKUP(2,1/($B$1:B240=B241),$P$1:P240),0)/IFERROR(LOOKUP(2,1/($B$1:B240=B241),$O$1:O240),0)*$E241,0),"")</x:f>
      </x:c>
      <x:c r="S241" t="str">
        <x:f>IF(COUNTA($A241:$D241)=0,"",IF($B241="","Missing symbol",IF($D241="","Missing action",IF(AND(LOWER($D241)="sell",$E241&gt;IFERROR(LOOKUP(2,1/($B$1:B240=B241),$O$1:O240),0)),"Sold more units than available","OK"))))</x:f>
      </x:c>
    </x:row>
    <x:row r="242">
      <x:c r="M242" t="str">
        <x:f>IF(COUNTA($A242:$D242)=0,"",IF($G242&lt;&gt;"",$G242,IF(AND($E242&lt;&gt;"",$F242&lt;&gt;""),$E242*$F242,""))*IF($J242&lt;&gt;"",$J242,1))</x:f>
      </x:c>
      <x:c r="N242" t="str">
        <x:f>IF(COUNTA($A242:$D242)=0,"",IF($H242&lt;&gt;"",$H242,0)*IF($J242&lt;&gt;"",$J242,1))</x:f>
      </x:c>
      <x:c r="O242" t="str">
        <x:f>IF(COUNTA($A242:$D242)=0,"",SWITCH(LOWER($D242),"buy",IFERROR(LOOKUP(2,1/($B$1:B241=B242),$O$1:O241),0)+$E242,"drip",IFERROR(LOOKUP(2,1/($B$1:B241=B242),$O$1:O241),0)+$E242,"sell",IFERROR(LOOKUP(2,1/($B$1:B241=B242),$O$1:O241),0)-$E242,"return_of_capital",IFERROR(LOOKUP(2,1/($B$1:B241=B242),$O$1:O241),0),"split",$E242,IFERROR(LOOKUP(2,1/($B$1:B241=B242),$O$1:O241),0)))</x:f>
      </x:c>
      <x:c r="P242" t="str">
        <x:f>IF(COUNTA($A242:$D242)=0,"",SWITCH(LOWER($D242),"buy",IFERROR(LOOKUP(2,1/($B$1:B241=B242),$P$1:P241),0)+$M242+$N242,"drip",IFERROR(LOOKUP(2,1/($B$1:B241=B242),$P$1:P241),0)+$M242+$N242,"sell",IFERROR(LOOKUP(2,1/($B$1:B241=B242),$P$1:P241),0)-IFERROR(IFERROR(LOOKUP(2,1/($B$1:B241=B242),$P$1:P241),0)/IFERROR(LOOKUP(2,1/($B$1:B241=B242),$O$1:O241),0)*$E242,0),"return_of_capital",IFERROR(LOOKUP(2,1/($B$1:B241=B242),$P$1:P241),0)-ABS($M242),"split",IFERROR(LOOKUP(2,1/($B$1:B241=B242),$P$1:P241),0),IFERROR(LOOKUP(2,1/($B$1:B241=B242),$P$1:P241),0)))</x:f>
      </x:c>
      <x:c r="Q242" t="str">
        <x:f>IFERROR($P242/$O242,"")</x:f>
      </x:c>
      <x:c r="R242" t="str">
        <x:f>IF(LOWER($D242)="sell",$M242-$N242-IFERROR(IFERROR(LOOKUP(2,1/($B$1:B241=B242),$P$1:P241),0)/IFERROR(LOOKUP(2,1/($B$1:B241=B242),$O$1:O241),0)*$E242,0),"")</x:f>
      </x:c>
      <x:c r="S242" t="str">
        <x:f>IF(COUNTA($A242:$D242)=0,"",IF($B242="","Missing symbol",IF($D242="","Missing action",IF(AND(LOWER($D242)="sell",$E242&gt;IFERROR(LOOKUP(2,1/($B$1:B241=B242),$O$1:O241),0)),"Sold more units than available","OK"))))</x:f>
      </x:c>
    </x:row>
    <x:row r="243">
      <x:c r="M243" t="str">
        <x:f>IF(COUNTA($A243:$D243)=0,"",IF($G243&lt;&gt;"",$G243,IF(AND($E243&lt;&gt;"",$F243&lt;&gt;""),$E243*$F243,""))*IF($J243&lt;&gt;"",$J243,1))</x:f>
      </x:c>
      <x:c r="N243" t="str">
        <x:f>IF(COUNTA($A243:$D243)=0,"",IF($H243&lt;&gt;"",$H243,0)*IF($J243&lt;&gt;"",$J243,1))</x:f>
      </x:c>
      <x:c r="O243" t="str">
        <x:f>IF(COUNTA($A243:$D243)=0,"",SWITCH(LOWER($D243),"buy",IFERROR(LOOKUP(2,1/($B$1:B242=B243),$O$1:O242),0)+$E243,"drip",IFERROR(LOOKUP(2,1/($B$1:B242=B243),$O$1:O242),0)+$E243,"sell",IFERROR(LOOKUP(2,1/($B$1:B242=B243),$O$1:O242),0)-$E243,"return_of_capital",IFERROR(LOOKUP(2,1/($B$1:B242=B243),$O$1:O242),0),"split",$E243,IFERROR(LOOKUP(2,1/($B$1:B242=B243),$O$1:O242),0)))</x:f>
      </x:c>
      <x:c r="P243" t="str">
        <x:f>IF(COUNTA($A243:$D243)=0,"",SWITCH(LOWER($D243),"buy",IFERROR(LOOKUP(2,1/($B$1:B242=B243),$P$1:P242),0)+$M243+$N243,"drip",IFERROR(LOOKUP(2,1/($B$1:B242=B243),$P$1:P242),0)+$M243+$N243,"sell",IFERROR(LOOKUP(2,1/($B$1:B242=B243),$P$1:P242),0)-IFERROR(IFERROR(LOOKUP(2,1/($B$1:B242=B243),$P$1:P242),0)/IFERROR(LOOKUP(2,1/($B$1:B242=B243),$O$1:O242),0)*$E243,0),"return_of_capital",IFERROR(LOOKUP(2,1/($B$1:B242=B243),$P$1:P242),0)-ABS($M243),"split",IFERROR(LOOKUP(2,1/($B$1:B242=B243),$P$1:P242),0),IFERROR(LOOKUP(2,1/($B$1:B242=B243),$P$1:P242),0)))</x:f>
      </x:c>
      <x:c r="Q243" t="str">
        <x:f>IFERROR($P243/$O243,"")</x:f>
      </x:c>
      <x:c r="R243" t="str">
        <x:f>IF(LOWER($D243)="sell",$M243-$N243-IFERROR(IFERROR(LOOKUP(2,1/($B$1:B242=B243),$P$1:P242),0)/IFERROR(LOOKUP(2,1/($B$1:B242=B243),$O$1:O242),0)*$E243,0),"")</x:f>
      </x:c>
      <x:c r="S243" t="str">
        <x:f>IF(COUNTA($A243:$D243)=0,"",IF($B243="","Missing symbol",IF($D243="","Missing action",IF(AND(LOWER($D243)="sell",$E243&gt;IFERROR(LOOKUP(2,1/($B$1:B242=B243),$O$1:O242),0)),"Sold more units than available","OK"))))</x:f>
      </x:c>
    </x:row>
    <x:row r="244">
      <x:c r="M244" t="str">
        <x:f>IF(COUNTA($A244:$D244)=0,"",IF($G244&lt;&gt;"",$G244,IF(AND($E244&lt;&gt;"",$F244&lt;&gt;""),$E244*$F244,""))*IF($J244&lt;&gt;"",$J244,1))</x:f>
      </x:c>
      <x:c r="N244" t="str">
        <x:f>IF(COUNTA($A244:$D244)=0,"",IF($H244&lt;&gt;"",$H244,0)*IF($J244&lt;&gt;"",$J244,1))</x:f>
      </x:c>
      <x:c r="O244" t="str">
        <x:f>IF(COUNTA($A244:$D244)=0,"",SWITCH(LOWER($D244),"buy",IFERROR(LOOKUP(2,1/($B$1:B243=B244),$O$1:O243),0)+$E244,"drip",IFERROR(LOOKUP(2,1/($B$1:B243=B244),$O$1:O243),0)+$E244,"sell",IFERROR(LOOKUP(2,1/($B$1:B243=B244),$O$1:O243),0)-$E244,"return_of_capital",IFERROR(LOOKUP(2,1/($B$1:B243=B244),$O$1:O243),0),"split",$E244,IFERROR(LOOKUP(2,1/($B$1:B243=B244),$O$1:O243),0)))</x:f>
      </x:c>
      <x:c r="P244" t="str">
        <x:f>IF(COUNTA($A244:$D244)=0,"",SWITCH(LOWER($D244),"buy",IFERROR(LOOKUP(2,1/($B$1:B243=B244),$P$1:P243),0)+$M244+$N244,"drip",IFERROR(LOOKUP(2,1/($B$1:B243=B244),$P$1:P243),0)+$M244+$N244,"sell",IFERROR(LOOKUP(2,1/($B$1:B243=B244),$P$1:P243),0)-IFERROR(IFERROR(LOOKUP(2,1/($B$1:B243=B244),$P$1:P243),0)/IFERROR(LOOKUP(2,1/($B$1:B243=B244),$O$1:O243),0)*$E244,0),"return_of_capital",IFERROR(LOOKUP(2,1/($B$1:B243=B244),$P$1:P243),0)-ABS($M244),"split",IFERROR(LOOKUP(2,1/($B$1:B243=B244),$P$1:P243),0),IFERROR(LOOKUP(2,1/($B$1:B243=B244),$P$1:P243),0)))</x:f>
      </x:c>
      <x:c r="Q244" t="str">
        <x:f>IFERROR($P244/$O244,"")</x:f>
      </x:c>
      <x:c r="R244" t="str">
        <x:f>IF(LOWER($D244)="sell",$M244-$N244-IFERROR(IFERROR(LOOKUP(2,1/($B$1:B243=B244),$P$1:P243),0)/IFERROR(LOOKUP(2,1/($B$1:B243=B244),$O$1:O243),0)*$E244,0),"")</x:f>
      </x:c>
      <x:c r="S244" t="str">
        <x:f>IF(COUNTA($A244:$D244)=0,"",IF($B244="","Missing symbol",IF($D244="","Missing action",IF(AND(LOWER($D244)="sell",$E244&gt;IFERROR(LOOKUP(2,1/($B$1:B243=B244),$O$1:O243),0)),"Sold more units than available","OK"))))</x:f>
      </x:c>
    </x:row>
    <x:row r="245">
      <x:c r="M245" t="str">
        <x:f>IF(COUNTA($A245:$D245)=0,"",IF($G245&lt;&gt;"",$G245,IF(AND($E245&lt;&gt;"",$F245&lt;&gt;""),$E245*$F245,""))*IF($J245&lt;&gt;"",$J245,1))</x:f>
      </x:c>
      <x:c r="N245" t="str">
        <x:f>IF(COUNTA($A245:$D245)=0,"",IF($H245&lt;&gt;"",$H245,0)*IF($J245&lt;&gt;"",$J245,1))</x:f>
      </x:c>
      <x:c r="O245" t="str">
        <x:f>IF(COUNTA($A245:$D245)=0,"",SWITCH(LOWER($D245),"buy",IFERROR(LOOKUP(2,1/($B$1:B244=B245),$O$1:O244),0)+$E245,"drip",IFERROR(LOOKUP(2,1/($B$1:B244=B245),$O$1:O244),0)+$E245,"sell",IFERROR(LOOKUP(2,1/($B$1:B244=B245),$O$1:O244),0)-$E245,"return_of_capital",IFERROR(LOOKUP(2,1/($B$1:B244=B245),$O$1:O244),0),"split",$E245,IFERROR(LOOKUP(2,1/($B$1:B244=B245),$O$1:O244),0)))</x:f>
      </x:c>
      <x:c r="P245" t="str">
        <x:f>IF(COUNTA($A245:$D245)=0,"",SWITCH(LOWER($D245),"buy",IFERROR(LOOKUP(2,1/($B$1:B244=B245),$P$1:P244),0)+$M245+$N245,"drip",IFERROR(LOOKUP(2,1/($B$1:B244=B245),$P$1:P244),0)+$M245+$N245,"sell",IFERROR(LOOKUP(2,1/($B$1:B244=B245),$P$1:P244),0)-IFERROR(IFERROR(LOOKUP(2,1/($B$1:B244=B245),$P$1:P244),0)/IFERROR(LOOKUP(2,1/($B$1:B244=B245),$O$1:O244),0)*$E245,0),"return_of_capital",IFERROR(LOOKUP(2,1/($B$1:B244=B245),$P$1:P244),0)-ABS($M245),"split",IFERROR(LOOKUP(2,1/($B$1:B244=B245),$P$1:P244),0),IFERROR(LOOKUP(2,1/($B$1:B244=B245),$P$1:P244),0)))</x:f>
      </x:c>
      <x:c r="Q245" t="str">
        <x:f>IFERROR($P245/$O245,"")</x:f>
      </x:c>
      <x:c r="R245" t="str">
        <x:f>IF(LOWER($D245)="sell",$M245-$N245-IFERROR(IFERROR(LOOKUP(2,1/($B$1:B244=B245),$P$1:P244),0)/IFERROR(LOOKUP(2,1/($B$1:B244=B245),$O$1:O244),0)*$E245,0),"")</x:f>
      </x:c>
      <x:c r="S245" t="str">
        <x:f>IF(COUNTA($A245:$D245)=0,"",IF($B245="","Missing symbol",IF($D245="","Missing action",IF(AND(LOWER($D245)="sell",$E245&gt;IFERROR(LOOKUP(2,1/($B$1:B244=B245),$O$1:O244),0)),"Sold more units than available","OK"))))</x:f>
      </x:c>
    </x:row>
    <x:row r="246">
      <x:c r="M246" t="str">
        <x:f>IF(COUNTA($A246:$D246)=0,"",IF($G246&lt;&gt;"",$G246,IF(AND($E246&lt;&gt;"",$F246&lt;&gt;""),$E246*$F246,""))*IF($J246&lt;&gt;"",$J246,1))</x:f>
      </x:c>
      <x:c r="N246" t="str">
        <x:f>IF(COUNTA($A246:$D246)=0,"",IF($H246&lt;&gt;"",$H246,0)*IF($J246&lt;&gt;"",$J246,1))</x:f>
      </x:c>
      <x:c r="O246" t="str">
        <x:f>IF(COUNTA($A246:$D246)=0,"",SWITCH(LOWER($D246),"buy",IFERROR(LOOKUP(2,1/($B$1:B245=B246),$O$1:O245),0)+$E246,"drip",IFERROR(LOOKUP(2,1/($B$1:B245=B246),$O$1:O245),0)+$E246,"sell",IFERROR(LOOKUP(2,1/($B$1:B245=B246),$O$1:O245),0)-$E246,"return_of_capital",IFERROR(LOOKUP(2,1/($B$1:B245=B246),$O$1:O245),0),"split",$E246,IFERROR(LOOKUP(2,1/($B$1:B245=B246),$O$1:O245),0)))</x:f>
      </x:c>
      <x:c r="P246" t="str">
        <x:f>IF(COUNTA($A246:$D246)=0,"",SWITCH(LOWER($D246),"buy",IFERROR(LOOKUP(2,1/($B$1:B245=B246),$P$1:P245),0)+$M246+$N246,"drip",IFERROR(LOOKUP(2,1/($B$1:B245=B246),$P$1:P245),0)+$M246+$N246,"sell",IFERROR(LOOKUP(2,1/($B$1:B245=B246),$P$1:P245),0)-IFERROR(IFERROR(LOOKUP(2,1/($B$1:B245=B246),$P$1:P245),0)/IFERROR(LOOKUP(2,1/($B$1:B245=B246),$O$1:O245),0)*$E246,0),"return_of_capital",IFERROR(LOOKUP(2,1/($B$1:B245=B246),$P$1:P245),0)-ABS($M246),"split",IFERROR(LOOKUP(2,1/($B$1:B245=B246),$P$1:P245),0),IFERROR(LOOKUP(2,1/($B$1:B245=B246),$P$1:P245),0)))</x:f>
      </x:c>
      <x:c r="Q246" t="str">
        <x:f>IFERROR($P246/$O246,"")</x:f>
      </x:c>
      <x:c r="R246" t="str">
        <x:f>IF(LOWER($D246)="sell",$M246-$N246-IFERROR(IFERROR(LOOKUP(2,1/($B$1:B245=B246),$P$1:P245),0)/IFERROR(LOOKUP(2,1/($B$1:B245=B246),$O$1:O245),0)*$E246,0),"")</x:f>
      </x:c>
      <x:c r="S246" t="str">
        <x:f>IF(COUNTA($A246:$D246)=0,"",IF($B246="","Missing symbol",IF($D246="","Missing action",IF(AND(LOWER($D246)="sell",$E246&gt;IFERROR(LOOKUP(2,1/($B$1:B245=B246),$O$1:O245),0)),"Sold more units than available","OK"))))</x:f>
      </x:c>
    </x:row>
    <x:row r="247">
      <x:c r="M247" t="str">
        <x:f>IF(COUNTA($A247:$D247)=0,"",IF($G247&lt;&gt;"",$G247,IF(AND($E247&lt;&gt;"",$F247&lt;&gt;""),$E247*$F247,""))*IF($J247&lt;&gt;"",$J247,1))</x:f>
      </x:c>
      <x:c r="N247" t="str">
        <x:f>IF(COUNTA($A247:$D247)=0,"",IF($H247&lt;&gt;"",$H247,0)*IF($J247&lt;&gt;"",$J247,1))</x:f>
      </x:c>
      <x:c r="O247" t="str">
        <x:f>IF(COUNTA($A247:$D247)=0,"",SWITCH(LOWER($D247),"buy",IFERROR(LOOKUP(2,1/($B$1:B246=B247),$O$1:O246),0)+$E247,"drip",IFERROR(LOOKUP(2,1/($B$1:B246=B247),$O$1:O246),0)+$E247,"sell",IFERROR(LOOKUP(2,1/($B$1:B246=B247),$O$1:O246),0)-$E247,"return_of_capital",IFERROR(LOOKUP(2,1/($B$1:B246=B247),$O$1:O246),0),"split",$E247,IFERROR(LOOKUP(2,1/($B$1:B246=B247),$O$1:O246),0)))</x:f>
      </x:c>
      <x:c r="P247" t="str">
        <x:f>IF(COUNTA($A247:$D247)=0,"",SWITCH(LOWER($D247),"buy",IFERROR(LOOKUP(2,1/($B$1:B246=B247),$P$1:P246),0)+$M247+$N247,"drip",IFERROR(LOOKUP(2,1/($B$1:B246=B247),$P$1:P246),0)+$M247+$N247,"sell",IFERROR(LOOKUP(2,1/($B$1:B246=B247),$P$1:P246),0)-IFERROR(IFERROR(LOOKUP(2,1/($B$1:B246=B247),$P$1:P246),0)/IFERROR(LOOKUP(2,1/($B$1:B246=B247),$O$1:O246),0)*$E247,0),"return_of_capital",IFERROR(LOOKUP(2,1/($B$1:B246=B247),$P$1:P246),0)-ABS($M247),"split",IFERROR(LOOKUP(2,1/($B$1:B246=B247),$P$1:P246),0),IFERROR(LOOKUP(2,1/($B$1:B246=B247),$P$1:P246),0)))</x:f>
      </x:c>
      <x:c r="Q247" t="str">
        <x:f>IFERROR($P247/$O247,"")</x:f>
      </x:c>
      <x:c r="R247" t="str">
        <x:f>IF(LOWER($D247)="sell",$M247-$N247-IFERROR(IFERROR(LOOKUP(2,1/($B$1:B246=B247),$P$1:P246),0)/IFERROR(LOOKUP(2,1/($B$1:B246=B247),$O$1:O246),0)*$E247,0),"")</x:f>
      </x:c>
      <x:c r="S247" t="str">
        <x:f>IF(COUNTA($A247:$D247)=0,"",IF($B247="","Missing symbol",IF($D247="","Missing action",IF(AND(LOWER($D247)="sell",$E247&gt;IFERROR(LOOKUP(2,1/($B$1:B246=B247),$O$1:O246),0)),"Sold more units than available","OK"))))</x:f>
      </x:c>
    </x:row>
    <x:row r="248">
      <x:c r="M248" t="str">
        <x:f>IF(COUNTA($A248:$D248)=0,"",IF($G248&lt;&gt;"",$G248,IF(AND($E248&lt;&gt;"",$F248&lt;&gt;""),$E248*$F248,""))*IF($J248&lt;&gt;"",$J248,1))</x:f>
      </x:c>
      <x:c r="N248" t="str">
        <x:f>IF(COUNTA($A248:$D248)=0,"",IF($H248&lt;&gt;"",$H248,0)*IF($J248&lt;&gt;"",$J248,1))</x:f>
      </x:c>
      <x:c r="O248" t="str">
        <x:f>IF(COUNTA($A248:$D248)=0,"",SWITCH(LOWER($D248),"buy",IFERROR(LOOKUP(2,1/($B$1:B247=B248),$O$1:O247),0)+$E248,"drip",IFERROR(LOOKUP(2,1/($B$1:B247=B248),$O$1:O247),0)+$E248,"sell",IFERROR(LOOKUP(2,1/($B$1:B247=B248),$O$1:O247),0)-$E248,"return_of_capital",IFERROR(LOOKUP(2,1/($B$1:B247=B248),$O$1:O247),0),"split",$E248,IFERROR(LOOKUP(2,1/($B$1:B247=B248),$O$1:O247),0)))</x:f>
      </x:c>
      <x:c r="P248" t="str">
        <x:f>IF(COUNTA($A248:$D248)=0,"",SWITCH(LOWER($D248),"buy",IFERROR(LOOKUP(2,1/($B$1:B247=B248),$P$1:P247),0)+$M248+$N248,"drip",IFERROR(LOOKUP(2,1/($B$1:B247=B248),$P$1:P247),0)+$M248+$N248,"sell",IFERROR(LOOKUP(2,1/($B$1:B247=B248),$P$1:P247),0)-IFERROR(IFERROR(LOOKUP(2,1/($B$1:B247=B248),$P$1:P247),0)/IFERROR(LOOKUP(2,1/($B$1:B247=B248),$O$1:O247),0)*$E248,0),"return_of_capital",IFERROR(LOOKUP(2,1/($B$1:B247=B248),$P$1:P247),0)-ABS($M248),"split",IFERROR(LOOKUP(2,1/($B$1:B247=B248),$P$1:P247),0),IFERROR(LOOKUP(2,1/($B$1:B247=B248),$P$1:P247),0)))</x:f>
      </x:c>
      <x:c r="Q248" t="str">
        <x:f>IFERROR($P248/$O248,"")</x:f>
      </x:c>
      <x:c r="R248" t="str">
        <x:f>IF(LOWER($D248)="sell",$M248-$N248-IFERROR(IFERROR(LOOKUP(2,1/($B$1:B247=B248),$P$1:P247),0)/IFERROR(LOOKUP(2,1/($B$1:B247=B248),$O$1:O247),0)*$E248,0),"")</x:f>
      </x:c>
      <x:c r="S248" t="str">
        <x:f>IF(COUNTA($A248:$D248)=0,"",IF($B248="","Missing symbol",IF($D248="","Missing action",IF(AND(LOWER($D248)="sell",$E248&gt;IFERROR(LOOKUP(2,1/($B$1:B247=B248),$O$1:O247),0)),"Sold more units than available","OK"))))</x:f>
      </x:c>
    </x:row>
    <x:row r="249">
      <x:c r="M249" t="str">
        <x:f>IF(COUNTA($A249:$D249)=0,"",IF($G249&lt;&gt;"",$G249,IF(AND($E249&lt;&gt;"",$F249&lt;&gt;""),$E249*$F249,""))*IF($J249&lt;&gt;"",$J249,1))</x:f>
      </x:c>
      <x:c r="N249" t="str">
        <x:f>IF(COUNTA($A249:$D249)=0,"",IF($H249&lt;&gt;"",$H249,0)*IF($J249&lt;&gt;"",$J249,1))</x:f>
      </x:c>
      <x:c r="O249" t="str">
        <x:f>IF(COUNTA($A249:$D249)=0,"",SWITCH(LOWER($D249),"buy",IFERROR(LOOKUP(2,1/($B$1:B248=B249),$O$1:O248),0)+$E249,"drip",IFERROR(LOOKUP(2,1/($B$1:B248=B249),$O$1:O248),0)+$E249,"sell",IFERROR(LOOKUP(2,1/($B$1:B248=B249),$O$1:O248),0)-$E249,"return_of_capital",IFERROR(LOOKUP(2,1/($B$1:B248=B249),$O$1:O248),0),"split",$E249,IFERROR(LOOKUP(2,1/($B$1:B248=B249),$O$1:O248),0)))</x:f>
      </x:c>
      <x:c r="P249" t="str">
        <x:f>IF(COUNTA($A249:$D249)=0,"",SWITCH(LOWER($D249),"buy",IFERROR(LOOKUP(2,1/($B$1:B248=B249),$P$1:P248),0)+$M249+$N249,"drip",IFERROR(LOOKUP(2,1/($B$1:B248=B249),$P$1:P248),0)+$M249+$N249,"sell",IFERROR(LOOKUP(2,1/($B$1:B248=B249),$P$1:P248),0)-IFERROR(IFERROR(LOOKUP(2,1/($B$1:B248=B249),$P$1:P248),0)/IFERROR(LOOKUP(2,1/($B$1:B248=B249),$O$1:O248),0)*$E249,0),"return_of_capital",IFERROR(LOOKUP(2,1/($B$1:B248=B249),$P$1:P248),0)-ABS($M249),"split",IFERROR(LOOKUP(2,1/($B$1:B248=B249),$P$1:P248),0),IFERROR(LOOKUP(2,1/($B$1:B248=B249),$P$1:P248),0)))</x:f>
      </x:c>
      <x:c r="Q249" t="str">
        <x:f>IFERROR($P249/$O249,"")</x:f>
      </x:c>
      <x:c r="R249" t="str">
        <x:f>IF(LOWER($D249)="sell",$M249-$N249-IFERROR(IFERROR(LOOKUP(2,1/($B$1:B248=B249),$P$1:P248),0)/IFERROR(LOOKUP(2,1/($B$1:B248=B249),$O$1:O248),0)*$E249,0),"")</x:f>
      </x:c>
      <x:c r="S249" t="str">
        <x:f>IF(COUNTA($A249:$D249)=0,"",IF($B249="","Missing symbol",IF($D249="","Missing action",IF(AND(LOWER($D249)="sell",$E249&gt;IFERROR(LOOKUP(2,1/($B$1:B248=B249),$O$1:O248),0)),"Sold more units than available","OK"))))</x:f>
      </x:c>
    </x:row>
    <x:row r="250">
      <x:c r="M250" t="str">
        <x:f>IF(COUNTA($A250:$D250)=0,"",IF($G250&lt;&gt;"",$G250,IF(AND($E250&lt;&gt;"",$F250&lt;&gt;""),$E250*$F250,""))*IF($J250&lt;&gt;"",$J250,1))</x:f>
      </x:c>
      <x:c r="N250" t="str">
        <x:f>IF(COUNTA($A250:$D250)=0,"",IF($H250&lt;&gt;"",$H250,0)*IF($J250&lt;&gt;"",$J250,1))</x:f>
      </x:c>
      <x:c r="O250" t="str">
        <x:f>IF(COUNTA($A250:$D250)=0,"",SWITCH(LOWER($D250),"buy",IFERROR(LOOKUP(2,1/($B$1:B249=B250),$O$1:O249),0)+$E250,"drip",IFERROR(LOOKUP(2,1/($B$1:B249=B250),$O$1:O249),0)+$E250,"sell",IFERROR(LOOKUP(2,1/($B$1:B249=B250),$O$1:O249),0)-$E250,"return_of_capital",IFERROR(LOOKUP(2,1/($B$1:B249=B250),$O$1:O249),0),"split",$E250,IFERROR(LOOKUP(2,1/($B$1:B249=B250),$O$1:O249),0)))</x:f>
      </x:c>
      <x:c r="P250" t="str">
        <x:f>IF(COUNTA($A250:$D250)=0,"",SWITCH(LOWER($D250),"buy",IFERROR(LOOKUP(2,1/($B$1:B249=B250),$P$1:P249),0)+$M250+$N250,"drip",IFERROR(LOOKUP(2,1/($B$1:B249=B250),$P$1:P249),0)+$M250+$N250,"sell",IFERROR(LOOKUP(2,1/($B$1:B249=B250),$P$1:P249),0)-IFERROR(IFERROR(LOOKUP(2,1/($B$1:B249=B250),$P$1:P249),0)/IFERROR(LOOKUP(2,1/($B$1:B249=B250),$O$1:O249),0)*$E250,0),"return_of_capital",IFERROR(LOOKUP(2,1/($B$1:B249=B250),$P$1:P249),0)-ABS($M250),"split",IFERROR(LOOKUP(2,1/($B$1:B249=B250),$P$1:P249),0),IFERROR(LOOKUP(2,1/($B$1:B249=B250),$P$1:P249),0)))</x:f>
      </x:c>
      <x:c r="Q250" t="str">
        <x:f>IFERROR($P250/$O250,"")</x:f>
      </x:c>
      <x:c r="R250" t="str">
        <x:f>IF(LOWER($D250)="sell",$M250-$N250-IFERROR(IFERROR(LOOKUP(2,1/($B$1:B249=B250),$P$1:P249),0)/IFERROR(LOOKUP(2,1/($B$1:B249=B250),$O$1:O249),0)*$E250,0),"")</x:f>
      </x:c>
      <x:c r="S250" t="str">
        <x:f>IF(COUNTA($A250:$D250)=0,"",IF($B250="","Missing symbol",IF($D250="","Missing action",IF(AND(LOWER($D250)="sell",$E250&gt;IFERROR(LOOKUP(2,1/($B$1:B249=B250),$O$1:O249),0)),"Sold more units than available","OK"))))</x:f>
      </x:c>
    </x:row>
    <x:row r="251">
      <x:c r="M251" t="str">
        <x:f>IF(COUNTA($A251:$D251)=0,"",IF($G251&lt;&gt;"",$G251,IF(AND($E251&lt;&gt;"",$F251&lt;&gt;""),$E251*$F251,""))*IF($J251&lt;&gt;"",$J251,1))</x:f>
      </x:c>
      <x:c r="N251" t="str">
        <x:f>IF(COUNTA($A251:$D251)=0,"",IF($H251&lt;&gt;"",$H251,0)*IF($J251&lt;&gt;"",$J251,1))</x:f>
      </x:c>
      <x:c r="O251" t="str">
        <x:f>IF(COUNTA($A251:$D251)=0,"",SWITCH(LOWER($D251),"buy",IFERROR(LOOKUP(2,1/($B$1:B250=B251),$O$1:O250),0)+$E251,"drip",IFERROR(LOOKUP(2,1/($B$1:B250=B251),$O$1:O250),0)+$E251,"sell",IFERROR(LOOKUP(2,1/($B$1:B250=B251),$O$1:O250),0)-$E251,"return_of_capital",IFERROR(LOOKUP(2,1/($B$1:B250=B251),$O$1:O250),0),"split",$E251,IFERROR(LOOKUP(2,1/($B$1:B250=B251),$O$1:O250),0)))</x:f>
      </x:c>
      <x:c r="P251" t="str">
        <x:f>IF(COUNTA($A251:$D251)=0,"",SWITCH(LOWER($D251),"buy",IFERROR(LOOKUP(2,1/($B$1:B250=B251),$P$1:P250),0)+$M251+$N251,"drip",IFERROR(LOOKUP(2,1/($B$1:B250=B251),$P$1:P250),0)+$M251+$N251,"sell",IFERROR(LOOKUP(2,1/($B$1:B250=B251),$P$1:P250),0)-IFERROR(IFERROR(LOOKUP(2,1/($B$1:B250=B251),$P$1:P250),0)/IFERROR(LOOKUP(2,1/($B$1:B250=B251),$O$1:O250),0)*$E251,0),"return_of_capital",IFERROR(LOOKUP(2,1/($B$1:B250=B251),$P$1:P250),0)-ABS($M251),"split",IFERROR(LOOKUP(2,1/($B$1:B250=B251),$P$1:P250),0),IFERROR(LOOKUP(2,1/($B$1:B250=B251),$P$1:P250),0)))</x:f>
      </x:c>
      <x:c r="Q251" t="str">
        <x:f>IFERROR($P251/$O251,"")</x:f>
      </x:c>
      <x:c r="R251" t="str">
        <x:f>IF(LOWER($D251)="sell",$M251-$N251-IFERROR(IFERROR(LOOKUP(2,1/($B$1:B250=B251),$P$1:P250),0)/IFERROR(LOOKUP(2,1/($B$1:B250=B251),$O$1:O250),0)*$E251,0),"")</x:f>
      </x:c>
      <x:c r="S251" t="str">
        <x:f>IF(COUNTA($A251:$D251)=0,"",IF($B251="","Missing symbol",IF($D251="","Missing action",IF(AND(LOWER($D251)="sell",$E251&gt;IFERROR(LOOKUP(2,1/($B$1:B250=B251),$O$1:O250),0)),"Sold more units than available","OK"))))</x:f>
      </x:c>
    </x:row>
    <x:row r="252">
      <x:c r="M252" t="str">
        <x:f>IF(COUNTA($A252:$D252)=0,"",IF($G252&lt;&gt;"",$G252,IF(AND($E252&lt;&gt;"",$F252&lt;&gt;""),$E252*$F252,""))*IF($J252&lt;&gt;"",$J252,1))</x:f>
      </x:c>
      <x:c r="N252" t="str">
        <x:f>IF(COUNTA($A252:$D252)=0,"",IF($H252&lt;&gt;"",$H252,0)*IF($J252&lt;&gt;"",$J252,1))</x:f>
      </x:c>
      <x:c r="O252" t="str">
        <x:f>IF(COUNTA($A252:$D252)=0,"",SWITCH(LOWER($D252),"buy",IFERROR(LOOKUP(2,1/($B$1:B251=B252),$O$1:O251),0)+$E252,"drip",IFERROR(LOOKUP(2,1/($B$1:B251=B252),$O$1:O251),0)+$E252,"sell",IFERROR(LOOKUP(2,1/($B$1:B251=B252),$O$1:O251),0)-$E252,"return_of_capital",IFERROR(LOOKUP(2,1/($B$1:B251=B252),$O$1:O251),0),"split",$E252,IFERROR(LOOKUP(2,1/($B$1:B251=B252),$O$1:O251),0)))</x:f>
      </x:c>
      <x:c r="P252" t="str">
        <x:f>IF(COUNTA($A252:$D252)=0,"",SWITCH(LOWER($D252),"buy",IFERROR(LOOKUP(2,1/($B$1:B251=B252),$P$1:P251),0)+$M252+$N252,"drip",IFERROR(LOOKUP(2,1/($B$1:B251=B252),$P$1:P251),0)+$M252+$N252,"sell",IFERROR(LOOKUP(2,1/($B$1:B251=B252),$P$1:P251),0)-IFERROR(IFERROR(LOOKUP(2,1/($B$1:B251=B252),$P$1:P251),0)/IFERROR(LOOKUP(2,1/($B$1:B251=B252),$O$1:O251),0)*$E252,0),"return_of_capital",IFERROR(LOOKUP(2,1/($B$1:B251=B252),$P$1:P251),0)-ABS($M252),"split",IFERROR(LOOKUP(2,1/($B$1:B251=B252),$P$1:P251),0),IFERROR(LOOKUP(2,1/($B$1:B251=B252),$P$1:P251),0)))</x:f>
      </x:c>
      <x:c r="Q252" t="str">
        <x:f>IFERROR($P252/$O252,"")</x:f>
      </x:c>
      <x:c r="R252" t="str">
        <x:f>IF(LOWER($D252)="sell",$M252-$N252-IFERROR(IFERROR(LOOKUP(2,1/($B$1:B251=B252),$P$1:P251),0)/IFERROR(LOOKUP(2,1/($B$1:B251=B252),$O$1:O251),0)*$E252,0),"")</x:f>
      </x:c>
      <x:c r="S252" t="str">
        <x:f>IF(COUNTA($A252:$D252)=0,"",IF($B252="","Missing symbol",IF($D252="","Missing action",IF(AND(LOWER($D252)="sell",$E252&gt;IFERROR(LOOKUP(2,1/($B$1:B251=B252),$O$1:O251),0)),"Sold more units than available","OK"))))</x:f>
      </x:c>
    </x:row>
    <x:row r="253">
      <x:c r="M253" t="str">
        <x:f>IF(COUNTA($A253:$D253)=0,"",IF($G253&lt;&gt;"",$G253,IF(AND($E253&lt;&gt;"",$F253&lt;&gt;""),$E253*$F253,""))*IF($J253&lt;&gt;"",$J253,1))</x:f>
      </x:c>
      <x:c r="N253" t="str">
        <x:f>IF(COUNTA($A253:$D253)=0,"",IF($H253&lt;&gt;"",$H253,0)*IF($J253&lt;&gt;"",$J253,1))</x:f>
      </x:c>
      <x:c r="O253" t="str">
        <x:f>IF(COUNTA($A253:$D253)=0,"",SWITCH(LOWER($D253),"buy",IFERROR(LOOKUP(2,1/($B$1:B252=B253),$O$1:O252),0)+$E253,"drip",IFERROR(LOOKUP(2,1/($B$1:B252=B253),$O$1:O252),0)+$E253,"sell",IFERROR(LOOKUP(2,1/($B$1:B252=B253),$O$1:O252),0)-$E253,"return_of_capital",IFERROR(LOOKUP(2,1/($B$1:B252=B253),$O$1:O252),0),"split",$E253,IFERROR(LOOKUP(2,1/($B$1:B252=B253),$O$1:O252),0)))</x:f>
      </x:c>
      <x:c r="P253" t="str">
        <x:f>IF(COUNTA($A253:$D253)=0,"",SWITCH(LOWER($D253),"buy",IFERROR(LOOKUP(2,1/($B$1:B252=B253),$P$1:P252),0)+$M253+$N253,"drip",IFERROR(LOOKUP(2,1/($B$1:B252=B253),$P$1:P252),0)+$M253+$N253,"sell",IFERROR(LOOKUP(2,1/($B$1:B252=B253),$P$1:P252),0)-IFERROR(IFERROR(LOOKUP(2,1/($B$1:B252=B253),$P$1:P252),0)/IFERROR(LOOKUP(2,1/($B$1:B252=B253),$O$1:O252),0)*$E253,0),"return_of_capital",IFERROR(LOOKUP(2,1/($B$1:B252=B253),$P$1:P252),0)-ABS($M253),"split",IFERROR(LOOKUP(2,1/($B$1:B252=B253),$P$1:P252),0),IFERROR(LOOKUP(2,1/($B$1:B252=B253),$P$1:P252),0)))</x:f>
      </x:c>
      <x:c r="Q253" t="str">
        <x:f>IFERROR($P253/$O253,"")</x:f>
      </x:c>
      <x:c r="R253" t="str">
        <x:f>IF(LOWER($D253)="sell",$M253-$N253-IFERROR(IFERROR(LOOKUP(2,1/($B$1:B252=B253),$P$1:P252),0)/IFERROR(LOOKUP(2,1/($B$1:B252=B253),$O$1:O252),0)*$E253,0),"")</x:f>
      </x:c>
      <x:c r="S253" t="str">
        <x:f>IF(COUNTA($A253:$D253)=0,"",IF($B253="","Missing symbol",IF($D253="","Missing action",IF(AND(LOWER($D253)="sell",$E253&gt;IFERROR(LOOKUP(2,1/($B$1:B252=B253),$O$1:O252),0)),"Sold more units than available","OK"))))</x:f>
      </x:c>
    </x:row>
    <x:row r="254">
      <x:c r="M254" t="str">
        <x:f>IF(COUNTA($A254:$D254)=0,"",IF($G254&lt;&gt;"",$G254,IF(AND($E254&lt;&gt;"",$F254&lt;&gt;""),$E254*$F254,""))*IF($J254&lt;&gt;"",$J254,1))</x:f>
      </x:c>
      <x:c r="N254" t="str">
        <x:f>IF(COUNTA($A254:$D254)=0,"",IF($H254&lt;&gt;"",$H254,0)*IF($J254&lt;&gt;"",$J254,1))</x:f>
      </x:c>
      <x:c r="O254" t="str">
        <x:f>IF(COUNTA($A254:$D254)=0,"",SWITCH(LOWER($D254),"buy",IFERROR(LOOKUP(2,1/($B$1:B253=B254),$O$1:O253),0)+$E254,"drip",IFERROR(LOOKUP(2,1/($B$1:B253=B254),$O$1:O253),0)+$E254,"sell",IFERROR(LOOKUP(2,1/($B$1:B253=B254),$O$1:O253),0)-$E254,"return_of_capital",IFERROR(LOOKUP(2,1/($B$1:B253=B254),$O$1:O253),0),"split",$E254,IFERROR(LOOKUP(2,1/($B$1:B253=B254),$O$1:O253),0)))</x:f>
      </x:c>
      <x:c r="P254" t="str">
        <x:f>IF(COUNTA($A254:$D254)=0,"",SWITCH(LOWER($D254),"buy",IFERROR(LOOKUP(2,1/($B$1:B253=B254),$P$1:P253),0)+$M254+$N254,"drip",IFERROR(LOOKUP(2,1/($B$1:B253=B254),$P$1:P253),0)+$M254+$N254,"sell",IFERROR(LOOKUP(2,1/($B$1:B253=B254),$P$1:P253),0)-IFERROR(IFERROR(LOOKUP(2,1/($B$1:B253=B254),$P$1:P253),0)/IFERROR(LOOKUP(2,1/($B$1:B253=B254),$O$1:O253),0)*$E254,0),"return_of_capital",IFERROR(LOOKUP(2,1/($B$1:B253=B254),$P$1:P253),0)-ABS($M254),"split",IFERROR(LOOKUP(2,1/($B$1:B253=B254),$P$1:P253),0),IFERROR(LOOKUP(2,1/($B$1:B253=B254),$P$1:P253),0)))</x:f>
      </x:c>
      <x:c r="Q254" t="str">
        <x:f>IFERROR($P254/$O254,"")</x:f>
      </x:c>
      <x:c r="R254" t="str">
        <x:f>IF(LOWER($D254)="sell",$M254-$N254-IFERROR(IFERROR(LOOKUP(2,1/($B$1:B253=B254),$P$1:P253),0)/IFERROR(LOOKUP(2,1/($B$1:B253=B254),$O$1:O253),0)*$E254,0),"")</x:f>
      </x:c>
      <x:c r="S254" t="str">
        <x:f>IF(COUNTA($A254:$D254)=0,"",IF($B254="","Missing symbol",IF($D254="","Missing action",IF(AND(LOWER($D254)="sell",$E254&gt;IFERROR(LOOKUP(2,1/($B$1:B253=B254),$O$1:O253),0)),"Sold more units than available","OK"))))</x:f>
      </x:c>
    </x:row>
    <x:row r="255">
      <x:c r="M255" t="str">
        <x:f>IF(COUNTA($A255:$D255)=0,"",IF($G255&lt;&gt;"",$G255,IF(AND($E255&lt;&gt;"",$F255&lt;&gt;""),$E255*$F255,""))*IF($J255&lt;&gt;"",$J255,1))</x:f>
      </x:c>
      <x:c r="N255" t="str">
        <x:f>IF(COUNTA($A255:$D255)=0,"",IF($H255&lt;&gt;"",$H255,0)*IF($J255&lt;&gt;"",$J255,1))</x:f>
      </x:c>
      <x:c r="O255" t="str">
        <x:f>IF(COUNTA($A255:$D255)=0,"",SWITCH(LOWER($D255),"buy",IFERROR(LOOKUP(2,1/($B$1:B254=B255),$O$1:O254),0)+$E255,"drip",IFERROR(LOOKUP(2,1/($B$1:B254=B255),$O$1:O254),0)+$E255,"sell",IFERROR(LOOKUP(2,1/($B$1:B254=B255),$O$1:O254),0)-$E255,"return_of_capital",IFERROR(LOOKUP(2,1/($B$1:B254=B255),$O$1:O254),0),"split",$E255,IFERROR(LOOKUP(2,1/($B$1:B254=B255),$O$1:O254),0)))</x:f>
      </x:c>
      <x:c r="P255" t="str">
        <x:f>IF(COUNTA($A255:$D255)=0,"",SWITCH(LOWER($D255),"buy",IFERROR(LOOKUP(2,1/($B$1:B254=B255),$P$1:P254),0)+$M255+$N255,"drip",IFERROR(LOOKUP(2,1/($B$1:B254=B255),$P$1:P254),0)+$M255+$N255,"sell",IFERROR(LOOKUP(2,1/($B$1:B254=B255),$P$1:P254),0)-IFERROR(IFERROR(LOOKUP(2,1/($B$1:B254=B255),$P$1:P254),0)/IFERROR(LOOKUP(2,1/($B$1:B254=B255),$O$1:O254),0)*$E255,0),"return_of_capital",IFERROR(LOOKUP(2,1/($B$1:B254=B255),$P$1:P254),0)-ABS($M255),"split",IFERROR(LOOKUP(2,1/($B$1:B254=B255),$P$1:P254),0),IFERROR(LOOKUP(2,1/($B$1:B254=B255),$P$1:P254),0)))</x:f>
      </x:c>
      <x:c r="Q255" t="str">
        <x:f>IFERROR($P255/$O255,"")</x:f>
      </x:c>
      <x:c r="R255" t="str">
        <x:f>IF(LOWER($D255)="sell",$M255-$N255-IFERROR(IFERROR(LOOKUP(2,1/($B$1:B254=B255),$P$1:P254),0)/IFERROR(LOOKUP(2,1/($B$1:B254=B255),$O$1:O254),0)*$E255,0),"")</x:f>
      </x:c>
      <x:c r="S255" t="str">
        <x:f>IF(COUNTA($A255:$D255)=0,"",IF($B255="","Missing symbol",IF($D255="","Missing action",IF(AND(LOWER($D255)="sell",$E255&gt;IFERROR(LOOKUP(2,1/($B$1:B254=B255),$O$1:O254),0)),"Sold more units than available","OK"))))</x:f>
      </x:c>
    </x:row>
    <x:row r="256">
      <x:c r="M256" t="str">
        <x:f>IF(COUNTA($A256:$D256)=0,"",IF($G256&lt;&gt;"",$G256,IF(AND($E256&lt;&gt;"",$F256&lt;&gt;""),$E256*$F256,""))*IF($J256&lt;&gt;"",$J256,1))</x:f>
      </x:c>
      <x:c r="N256" t="str">
        <x:f>IF(COUNTA($A256:$D256)=0,"",IF($H256&lt;&gt;"",$H256,0)*IF($J256&lt;&gt;"",$J256,1))</x:f>
      </x:c>
      <x:c r="O256" t="str">
        <x:f>IF(COUNTA($A256:$D256)=0,"",SWITCH(LOWER($D256),"buy",IFERROR(LOOKUP(2,1/($B$1:B255=B256),$O$1:O255),0)+$E256,"drip",IFERROR(LOOKUP(2,1/($B$1:B255=B256),$O$1:O255),0)+$E256,"sell",IFERROR(LOOKUP(2,1/($B$1:B255=B256),$O$1:O255),0)-$E256,"return_of_capital",IFERROR(LOOKUP(2,1/($B$1:B255=B256),$O$1:O255),0),"split",$E256,IFERROR(LOOKUP(2,1/($B$1:B255=B256),$O$1:O255),0)))</x:f>
      </x:c>
      <x:c r="P256" t="str">
        <x:f>IF(COUNTA($A256:$D256)=0,"",SWITCH(LOWER($D256),"buy",IFERROR(LOOKUP(2,1/($B$1:B255=B256),$P$1:P255),0)+$M256+$N256,"drip",IFERROR(LOOKUP(2,1/($B$1:B255=B256),$P$1:P255),0)+$M256+$N256,"sell",IFERROR(LOOKUP(2,1/($B$1:B255=B256),$P$1:P255),0)-IFERROR(IFERROR(LOOKUP(2,1/($B$1:B255=B256),$P$1:P255),0)/IFERROR(LOOKUP(2,1/($B$1:B255=B256),$O$1:O255),0)*$E256,0),"return_of_capital",IFERROR(LOOKUP(2,1/($B$1:B255=B256),$P$1:P255),0)-ABS($M256),"split",IFERROR(LOOKUP(2,1/($B$1:B255=B256),$P$1:P255),0),IFERROR(LOOKUP(2,1/($B$1:B255=B256),$P$1:P255),0)))</x:f>
      </x:c>
      <x:c r="Q256" t="str">
        <x:f>IFERROR($P256/$O256,"")</x:f>
      </x:c>
      <x:c r="R256" t="str">
        <x:f>IF(LOWER($D256)="sell",$M256-$N256-IFERROR(IFERROR(LOOKUP(2,1/($B$1:B255=B256),$P$1:P255),0)/IFERROR(LOOKUP(2,1/($B$1:B255=B256),$O$1:O255),0)*$E256,0),"")</x:f>
      </x:c>
      <x:c r="S256" t="str">
        <x:f>IF(COUNTA($A256:$D256)=0,"",IF($B256="","Missing symbol",IF($D256="","Missing action",IF(AND(LOWER($D256)="sell",$E256&gt;IFERROR(LOOKUP(2,1/($B$1:B255=B256),$O$1:O255),0)),"Sold more units than available","OK"))))</x:f>
      </x:c>
    </x:row>
    <x:row r="257">
      <x:c r="M257" t="str">
        <x:f>IF(COUNTA($A257:$D257)=0,"",IF($G257&lt;&gt;"",$G257,IF(AND($E257&lt;&gt;"",$F257&lt;&gt;""),$E257*$F257,""))*IF($J257&lt;&gt;"",$J257,1))</x:f>
      </x:c>
      <x:c r="N257" t="str">
        <x:f>IF(COUNTA($A257:$D257)=0,"",IF($H257&lt;&gt;"",$H257,0)*IF($J257&lt;&gt;"",$J257,1))</x:f>
      </x:c>
      <x:c r="O257" t="str">
        <x:f>IF(COUNTA($A257:$D257)=0,"",SWITCH(LOWER($D257),"buy",IFERROR(LOOKUP(2,1/($B$1:B256=B257),$O$1:O256),0)+$E257,"drip",IFERROR(LOOKUP(2,1/($B$1:B256=B257),$O$1:O256),0)+$E257,"sell",IFERROR(LOOKUP(2,1/($B$1:B256=B257),$O$1:O256),0)-$E257,"return_of_capital",IFERROR(LOOKUP(2,1/($B$1:B256=B257),$O$1:O256),0),"split",$E257,IFERROR(LOOKUP(2,1/($B$1:B256=B257),$O$1:O256),0)))</x:f>
      </x:c>
      <x:c r="P257" t="str">
        <x:f>IF(COUNTA($A257:$D257)=0,"",SWITCH(LOWER($D257),"buy",IFERROR(LOOKUP(2,1/($B$1:B256=B257),$P$1:P256),0)+$M257+$N257,"drip",IFERROR(LOOKUP(2,1/($B$1:B256=B257),$P$1:P256),0)+$M257+$N257,"sell",IFERROR(LOOKUP(2,1/($B$1:B256=B257),$P$1:P256),0)-IFERROR(IFERROR(LOOKUP(2,1/($B$1:B256=B257),$P$1:P256),0)/IFERROR(LOOKUP(2,1/($B$1:B256=B257),$O$1:O256),0)*$E257,0),"return_of_capital",IFERROR(LOOKUP(2,1/($B$1:B256=B257),$P$1:P256),0)-ABS($M257),"split",IFERROR(LOOKUP(2,1/($B$1:B256=B257),$P$1:P256),0),IFERROR(LOOKUP(2,1/($B$1:B256=B257),$P$1:P256),0)))</x:f>
      </x:c>
      <x:c r="Q257" t="str">
        <x:f>IFERROR($P257/$O257,"")</x:f>
      </x:c>
      <x:c r="R257" t="str">
        <x:f>IF(LOWER($D257)="sell",$M257-$N257-IFERROR(IFERROR(LOOKUP(2,1/($B$1:B256=B257),$P$1:P256),0)/IFERROR(LOOKUP(2,1/($B$1:B256=B257),$O$1:O256),0)*$E257,0),"")</x:f>
      </x:c>
      <x:c r="S257" t="str">
        <x:f>IF(COUNTA($A257:$D257)=0,"",IF($B257="","Missing symbol",IF($D257="","Missing action",IF(AND(LOWER($D257)="sell",$E257&gt;IFERROR(LOOKUP(2,1/($B$1:B256=B257),$O$1:O256),0)),"Sold more units than available","OK"))))</x:f>
      </x:c>
    </x:row>
    <x:row r="258">
      <x:c r="M258" t="str">
        <x:f>IF(COUNTA($A258:$D258)=0,"",IF($G258&lt;&gt;"",$G258,IF(AND($E258&lt;&gt;"",$F258&lt;&gt;""),$E258*$F258,""))*IF($J258&lt;&gt;"",$J258,1))</x:f>
      </x:c>
      <x:c r="N258" t="str">
        <x:f>IF(COUNTA($A258:$D258)=0,"",IF($H258&lt;&gt;"",$H258,0)*IF($J258&lt;&gt;"",$J258,1))</x:f>
      </x:c>
      <x:c r="O258" t="str">
        <x:f>IF(COUNTA($A258:$D258)=0,"",SWITCH(LOWER($D258),"buy",IFERROR(LOOKUP(2,1/($B$1:B257=B258),$O$1:O257),0)+$E258,"drip",IFERROR(LOOKUP(2,1/($B$1:B257=B258),$O$1:O257),0)+$E258,"sell",IFERROR(LOOKUP(2,1/($B$1:B257=B258),$O$1:O257),0)-$E258,"return_of_capital",IFERROR(LOOKUP(2,1/($B$1:B257=B258),$O$1:O257),0),"split",$E258,IFERROR(LOOKUP(2,1/($B$1:B257=B258),$O$1:O257),0)))</x:f>
      </x:c>
      <x:c r="P258" t="str">
        <x:f>IF(COUNTA($A258:$D258)=0,"",SWITCH(LOWER($D258),"buy",IFERROR(LOOKUP(2,1/($B$1:B257=B258),$P$1:P257),0)+$M258+$N258,"drip",IFERROR(LOOKUP(2,1/($B$1:B257=B258),$P$1:P257),0)+$M258+$N258,"sell",IFERROR(LOOKUP(2,1/($B$1:B257=B258),$P$1:P257),0)-IFERROR(IFERROR(LOOKUP(2,1/($B$1:B257=B258),$P$1:P257),0)/IFERROR(LOOKUP(2,1/($B$1:B257=B258),$O$1:O257),0)*$E258,0),"return_of_capital",IFERROR(LOOKUP(2,1/($B$1:B257=B258),$P$1:P257),0)-ABS($M258),"split",IFERROR(LOOKUP(2,1/($B$1:B257=B258),$P$1:P257),0),IFERROR(LOOKUP(2,1/($B$1:B257=B258),$P$1:P257),0)))</x:f>
      </x:c>
      <x:c r="Q258" t="str">
        <x:f>IFERROR($P258/$O258,"")</x:f>
      </x:c>
      <x:c r="R258" t="str">
        <x:f>IF(LOWER($D258)="sell",$M258-$N258-IFERROR(IFERROR(LOOKUP(2,1/($B$1:B257=B258),$P$1:P257),0)/IFERROR(LOOKUP(2,1/($B$1:B257=B258),$O$1:O257),0)*$E258,0),"")</x:f>
      </x:c>
      <x:c r="S258" t="str">
        <x:f>IF(COUNTA($A258:$D258)=0,"",IF($B258="","Missing symbol",IF($D258="","Missing action",IF(AND(LOWER($D258)="sell",$E258&gt;IFERROR(LOOKUP(2,1/($B$1:B257=B258),$O$1:O257),0)),"Sold more units than available","OK"))))</x:f>
      </x:c>
    </x:row>
    <x:row r="259">
      <x:c r="M259" t="str">
        <x:f>IF(COUNTA($A259:$D259)=0,"",IF($G259&lt;&gt;"",$G259,IF(AND($E259&lt;&gt;"",$F259&lt;&gt;""),$E259*$F259,""))*IF($J259&lt;&gt;"",$J259,1))</x:f>
      </x:c>
      <x:c r="N259" t="str">
        <x:f>IF(COUNTA($A259:$D259)=0,"",IF($H259&lt;&gt;"",$H259,0)*IF($J259&lt;&gt;"",$J259,1))</x:f>
      </x:c>
      <x:c r="O259" t="str">
        <x:f>IF(COUNTA($A259:$D259)=0,"",SWITCH(LOWER($D259),"buy",IFERROR(LOOKUP(2,1/($B$1:B258=B259),$O$1:O258),0)+$E259,"drip",IFERROR(LOOKUP(2,1/($B$1:B258=B259),$O$1:O258),0)+$E259,"sell",IFERROR(LOOKUP(2,1/($B$1:B258=B259),$O$1:O258),0)-$E259,"return_of_capital",IFERROR(LOOKUP(2,1/($B$1:B258=B259),$O$1:O258),0),"split",$E259,IFERROR(LOOKUP(2,1/($B$1:B258=B259),$O$1:O258),0)))</x:f>
      </x:c>
      <x:c r="P259" t="str">
        <x:f>IF(COUNTA($A259:$D259)=0,"",SWITCH(LOWER($D259),"buy",IFERROR(LOOKUP(2,1/($B$1:B258=B259),$P$1:P258),0)+$M259+$N259,"drip",IFERROR(LOOKUP(2,1/($B$1:B258=B259),$P$1:P258),0)+$M259+$N259,"sell",IFERROR(LOOKUP(2,1/($B$1:B258=B259),$P$1:P258),0)-IFERROR(IFERROR(LOOKUP(2,1/($B$1:B258=B259),$P$1:P258),0)/IFERROR(LOOKUP(2,1/($B$1:B258=B259),$O$1:O258),0)*$E259,0),"return_of_capital",IFERROR(LOOKUP(2,1/($B$1:B258=B259),$P$1:P258),0)-ABS($M259),"split",IFERROR(LOOKUP(2,1/($B$1:B258=B259),$P$1:P258),0),IFERROR(LOOKUP(2,1/($B$1:B258=B259),$P$1:P258),0)))</x:f>
      </x:c>
      <x:c r="Q259" t="str">
        <x:f>IFERROR($P259/$O259,"")</x:f>
      </x:c>
      <x:c r="R259" t="str">
        <x:f>IF(LOWER($D259)="sell",$M259-$N259-IFERROR(IFERROR(LOOKUP(2,1/($B$1:B258=B259),$P$1:P258),0)/IFERROR(LOOKUP(2,1/($B$1:B258=B259),$O$1:O258),0)*$E259,0),"")</x:f>
      </x:c>
      <x:c r="S259" t="str">
        <x:f>IF(COUNTA($A259:$D259)=0,"",IF($B259="","Missing symbol",IF($D259="","Missing action",IF(AND(LOWER($D259)="sell",$E259&gt;IFERROR(LOOKUP(2,1/($B$1:B258=B259),$O$1:O258),0)),"Sold more units than available","OK"))))</x:f>
      </x:c>
    </x:row>
    <x:row r="260">
      <x:c r="M260" t="str">
        <x:f>IF(COUNTA($A260:$D260)=0,"",IF($G260&lt;&gt;"",$G260,IF(AND($E260&lt;&gt;"",$F260&lt;&gt;""),$E260*$F260,""))*IF($J260&lt;&gt;"",$J260,1))</x:f>
      </x:c>
      <x:c r="N260" t="str">
        <x:f>IF(COUNTA($A260:$D260)=0,"",IF($H260&lt;&gt;"",$H260,0)*IF($J260&lt;&gt;"",$J260,1))</x:f>
      </x:c>
      <x:c r="O260" t="str">
        <x:f>IF(COUNTA($A260:$D260)=0,"",SWITCH(LOWER($D260),"buy",IFERROR(LOOKUP(2,1/($B$1:B259=B260),$O$1:O259),0)+$E260,"drip",IFERROR(LOOKUP(2,1/($B$1:B259=B260),$O$1:O259),0)+$E260,"sell",IFERROR(LOOKUP(2,1/($B$1:B259=B260),$O$1:O259),0)-$E260,"return_of_capital",IFERROR(LOOKUP(2,1/($B$1:B259=B260),$O$1:O259),0),"split",$E260,IFERROR(LOOKUP(2,1/($B$1:B259=B260),$O$1:O259),0)))</x:f>
      </x:c>
      <x:c r="P260" t="str">
        <x:f>IF(COUNTA($A260:$D260)=0,"",SWITCH(LOWER($D260),"buy",IFERROR(LOOKUP(2,1/($B$1:B259=B260),$P$1:P259),0)+$M260+$N260,"drip",IFERROR(LOOKUP(2,1/($B$1:B259=B260),$P$1:P259),0)+$M260+$N260,"sell",IFERROR(LOOKUP(2,1/($B$1:B259=B260),$P$1:P259),0)-IFERROR(IFERROR(LOOKUP(2,1/($B$1:B259=B260),$P$1:P259),0)/IFERROR(LOOKUP(2,1/($B$1:B259=B260),$O$1:O259),0)*$E260,0),"return_of_capital",IFERROR(LOOKUP(2,1/($B$1:B259=B260),$P$1:P259),0)-ABS($M260),"split",IFERROR(LOOKUP(2,1/($B$1:B259=B260),$P$1:P259),0),IFERROR(LOOKUP(2,1/($B$1:B259=B260),$P$1:P259),0)))</x:f>
      </x:c>
      <x:c r="Q260" t="str">
        <x:f>IFERROR($P260/$O260,"")</x:f>
      </x:c>
      <x:c r="R260" t="str">
        <x:f>IF(LOWER($D260)="sell",$M260-$N260-IFERROR(IFERROR(LOOKUP(2,1/($B$1:B259=B260),$P$1:P259),0)/IFERROR(LOOKUP(2,1/($B$1:B259=B260),$O$1:O259),0)*$E260,0),"")</x:f>
      </x:c>
      <x:c r="S260" t="str">
        <x:f>IF(COUNTA($A260:$D260)=0,"",IF($B260="","Missing symbol",IF($D260="","Missing action",IF(AND(LOWER($D260)="sell",$E260&gt;IFERROR(LOOKUP(2,1/($B$1:B259=B260),$O$1:O259),0)),"Sold more units than available","OK"))))</x:f>
      </x:c>
    </x:row>
    <x:row r="261">
      <x:c r="M261" t="str">
        <x:f>IF(COUNTA($A261:$D261)=0,"",IF($G261&lt;&gt;"",$G261,IF(AND($E261&lt;&gt;"",$F261&lt;&gt;""),$E261*$F261,""))*IF($J261&lt;&gt;"",$J261,1))</x:f>
      </x:c>
      <x:c r="N261" t="str">
        <x:f>IF(COUNTA($A261:$D261)=0,"",IF($H261&lt;&gt;"",$H261,0)*IF($J261&lt;&gt;"",$J261,1))</x:f>
      </x:c>
      <x:c r="O261" t="str">
        <x:f>IF(COUNTA($A261:$D261)=0,"",SWITCH(LOWER($D261),"buy",IFERROR(LOOKUP(2,1/($B$1:B260=B261),$O$1:O260),0)+$E261,"drip",IFERROR(LOOKUP(2,1/($B$1:B260=B261),$O$1:O260),0)+$E261,"sell",IFERROR(LOOKUP(2,1/($B$1:B260=B261),$O$1:O260),0)-$E261,"return_of_capital",IFERROR(LOOKUP(2,1/($B$1:B260=B261),$O$1:O260),0),"split",$E261,IFERROR(LOOKUP(2,1/($B$1:B260=B261),$O$1:O260),0)))</x:f>
      </x:c>
      <x:c r="P261" t="str">
        <x:f>IF(COUNTA($A261:$D261)=0,"",SWITCH(LOWER($D261),"buy",IFERROR(LOOKUP(2,1/($B$1:B260=B261),$P$1:P260),0)+$M261+$N261,"drip",IFERROR(LOOKUP(2,1/($B$1:B260=B261),$P$1:P260),0)+$M261+$N261,"sell",IFERROR(LOOKUP(2,1/($B$1:B260=B261),$P$1:P260),0)-IFERROR(IFERROR(LOOKUP(2,1/($B$1:B260=B261),$P$1:P260),0)/IFERROR(LOOKUP(2,1/($B$1:B260=B261),$O$1:O260),0)*$E261,0),"return_of_capital",IFERROR(LOOKUP(2,1/($B$1:B260=B261),$P$1:P260),0)-ABS($M261),"split",IFERROR(LOOKUP(2,1/($B$1:B260=B261),$P$1:P260),0),IFERROR(LOOKUP(2,1/($B$1:B260=B261),$P$1:P260),0)))</x:f>
      </x:c>
      <x:c r="Q261" t="str">
        <x:f>IFERROR($P261/$O261,"")</x:f>
      </x:c>
      <x:c r="R261" t="str">
        <x:f>IF(LOWER($D261)="sell",$M261-$N261-IFERROR(IFERROR(LOOKUP(2,1/($B$1:B260=B261),$P$1:P260),0)/IFERROR(LOOKUP(2,1/($B$1:B260=B261),$O$1:O260),0)*$E261,0),"")</x:f>
      </x:c>
      <x:c r="S261" t="str">
        <x:f>IF(COUNTA($A261:$D261)=0,"",IF($B261="","Missing symbol",IF($D261="","Missing action",IF(AND(LOWER($D261)="sell",$E261&gt;IFERROR(LOOKUP(2,1/($B$1:B260=B261),$O$1:O260),0)),"Sold more units than available","OK"))))</x:f>
      </x:c>
    </x:row>
    <x:row r="262">
      <x:c r="M262" t="str">
        <x:f>IF(COUNTA($A262:$D262)=0,"",IF($G262&lt;&gt;"",$G262,IF(AND($E262&lt;&gt;"",$F262&lt;&gt;""),$E262*$F262,""))*IF($J262&lt;&gt;"",$J262,1))</x:f>
      </x:c>
      <x:c r="N262" t="str">
        <x:f>IF(COUNTA($A262:$D262)=0,"",IF($H262&lt;&gt;"",$H262,0)*IF($J262&lt;&gt;"",$J262,1))</x:f>
      </x:c>
      <x:c r="O262" t="str">
        <x:f>IF(COUNTA($A262:$D262)=0,"",SWITCH(LOWER($D262),"buy",IFERROR(LOOKUP(2,1/($B$1:B261=B262),$O$1:O261),0)+$E262,"drip",IFERROR(LOOKUP(2,1/($B$1:B261=B262),$O$1:O261),0)+$E262,"sell",IFERROR(LOOKUP(2,1/($B$1:B261=B262),$O$1:O261),0)-$E262,"return_of_capital",IFERROR(LOOKUP(2,1/($B$1:B261=B262),$O$1:O261),0),"split",$E262,IFERROR(LOOKUP(2,1/($B$1:B261=B262),$O$1:O261),0)))</x:f>
      </x:c>
      <x:c r="P262" t="str">
        <x:f>IF(COUNTA($A262:$D262)=0,"",SWITCH(LOWER($D262),"buy",IFERROR(LOOKUP(2,1/($B$1:B261=B262),$P$1:P261),0)+$M262+$N262,"drip",IFERROR(LOOKUP(2,1/($B$1:B261=B262),$P$1:P261),0)+$M262+$N262,"sell",IFERROR(LOOKUP(2,1/($B$1:B261=B262),$P$1:P261),0)-IFERROR(IFERROR(LOOKUP(2,1/($B$1:B261=B262),$P$1:P261),0)/IFERROR(LOOKUP(2,1/($B$1:B261=B262),$O$1:O261),0)*$E262,0),"return_of_capital",IFERROR(LOOKUP(2,1/($B$1:B261=B262),$P$1:P261),0)-ABS($M262),"split",IFERROR(LOOKUP(2,1/($B$1:B261=B262),$P$1:P261),0),IFERROR(LOOKUP(2,1/($B$1:B261=B262),$P$1:P261),0)))</x:f>
      </x:c>
      <x:c r="Q262" t="str">
        <x:f>IFERROR($P262/$O262,"")</x:f>
      </x:c>
      <x:c r="R262" t="str">
        <x:f>IF(LOWER($D262)="sell",$M262-$N262-IFERROR(IFERROR(LOOKUP(2,1/($B$1:B261=B262),$P$1:P261),0)/IFERROR(LOOKUP(2,1/($B$1:B261=B262),$O$1:O261),0)*$E262,0),"")</x:f>
      </x:c>
      <x:c r="S262" t="str">
        <x:f>IF(COUNTA($A262:$D262)=0,"",IF($B262="","Missing symbol",IF($D262="","Missing action",IF(AND(LOWER($D262)="sell",$E262&gt;IFERROR(LOOKUP(2,1/($B$1:B261=B262),$O$1:O261),0)),"Sold more units than available","OK"))))</x:f>
      </x:c>
    </x:row>
    <x:row r="263">
      <x:c r="M263" t="str">
        <x:f>IF(COUNTA($A263:$D263)=0,"",IF($G263&lt;&gt;"",$G263,IF(AND($E263&lt;&gt;"",$F263&lt;&gt;""),$E263*$F263,""))*IF($J263&lt;&gt;"",$J263,1))</x:f>
      </x:c>
      <x:c r="N263" t="str">
        <x:f>IF(COUNTA($A263:$D263)=0,"",IF($H263&lt;&gt;"",$H263,0)*IF($J263&lt;&gt;"",$J263,1))</x:f>
      </x:c>
      <x:c r="O263" t="str">
        <x:f>IF(COUNTA($A263:$D263)=0,"",SWITCH(LOWER($D263),"buy",IFERROR(LOOKUP(2,1/($B$1:B262=B263),$O$1:O262),0)+$E263,"drip",IFERROR(LOOKUP(2,1/($B$1:B262=B263),$O$1:O262),0)+$E263,"sell",IFERROR(LOOKUP(2,1/($B$1:B262=B263),$O$1:O262),0)-$E263,"return_of_capital",IFERROR(LOOKUP(2,1/($B$1:B262=B263),$O$1:O262),0),"split",$E263,IFERROR(LOOKUP(2,1/($B$1:B262=B263),$O$1:O262),0)))</x:f>
      </x:c>
      <x:c r="P263" t="str">
        <x:f>IF(COUNTA($A263:$D263)=0,"",SWITCH(LOWER($D263),"buy",IFERROR(LOOKUP(2,1/($B$1:B262=B263),$P$1:P262),0)+$M263+$N263,"drip",IFERROR(LOOKUP(2,1/($B$1:B262=B263),$P$1:P262),0)+$M263+$N263,"sell",IFERROR(LOOKUP(2,1/($B$1:B262=B263),$P$1:P262),0)-IFERROR(IFERROR(LOOKUP(2,1/($B$1:B262=B263),$P$1:P262),0)/IFERROR(LOOKUP(2,1/($B$1:B262=B263),$O$1:O262),0)*$E263,0),"return_of_capital",IFERROR(LOOKUP(2,1/($B$1:B262=B263),$P$1:P262),0)-ABS($M263),"split",IFERROR(LOOKUP(2,1/($B$1:B262=B263),$P$1:P262),0),IFERROR(LOOKUP(2,1/($B$1:B262=B263),$P$1:P262),0)))</x:f>
      </x:c>
      <x:c r="Q263" t="str">
        <x:f>IFERROR($P263/$O263,"")</x:f>
      </x:c>
      <x:c r="R263" t="str">
        <x:f>IF(LOWER($D263)="sell",$M263-$N263-IFERROR(IFERROR(LOOKUP(2,1/($B$1:B262=B263),$P$1:P262),0)/IFERROR(LOOKUP(2,1/($B$1:B262=B263),$O$1:O262),0)*$E263,0),"")</x:f>
      </x:c>
      <x:c r="S263" t="str">
        <x:f>IF(COUNTA($A263:$D263)=0,"",IF($B263="","Missing symbol",IF($D263="","Missing action",IF(AND(LOWER($D263)="sell",$E263&gt;IFERROR(LOOKUP(2,1/($B$1:B262=B263),$O$1:O262),0)),"Sold more units than available","OK"))))</x:f>
      </x:c>
    </x:row>
    <x:row r="264">
      <x:c r="M264" t="str">
        <x:f>IF(COUNTA($A264:$D264)=0,"",IF($G264&lt;&gt;"",$G264,IF(AND($E264&lt;&gt;"",$F264&lt;&gt;""),$E264*$F264,""))*IF($J264&lt;&gt;"",$J264,1))</x:f>
      </x:c>
      <x:c r="N264" t="str">
        <x:f>IF(COUNTA($A264:$D264)=0,"",IF($H264&lt;&gt;"",$H264,0)*IF($J264&lt;&gt;"",$J264,1))</x:f>
      </x:c>
      <x:c r="O264" t="str">
        <x:f>IF(COUNTA($A264:$D264)=0,"",SWITCH(LOWER($D264),"buy",IFERROR(LOOKUP(2,1/($B$1:B263=B264),$O$1:O263),0)+$E264,"drip",IFERROR(LOOKUP(2,1/($B$1:B263=B264),$O$1:O263),0)+$E264,"sell",IFERROR(LOOKUP(2,1/($B$1:B263=B264),$O$1:O263),0)-$E264,"return_of_capital",IFERROR(LOOKUP(2,1/($B$1:B263=B264),$O$1:O263),0),"split",$E264,IFERROR(LOOKUP(2,1/($B$1:B263=B264),$O$1:O263),0)))</x:f>
      </x:c>
      <x:c r="P264" t="str">
        <x:f>IF(COUNTA($A264:$D264)=0,"",SWITCH(LOWER($D264),"buy",IFERROR(LOOKUP(2,1/($B$1:B263=B264),$P$1:P263),0)+$M264+$N264,"drip",IFERROR(LOOKUP(2,1/($B$1:B263=B264),$P$1:P263),0)+$M264+$N264,"sell",IFERROR(LOOKUP(2,1/($B$1:B263=B264),$P$1:P263),0)-IFERROR(IFERROR(LOOKUP(2,1/($B$1:B263=B264),$P$1:P263),0)/IFERROR(LOOKUP(2,1/($B$1:B263=B264),$O$1:O263),0)*$E264,0),"return_of_capital",IFERROR(LOOKUP(2,1/($B$1:B263=B264),$P$1:P263),0)-ABS($M264),"split",IFERROR(LOOKUP(2,1/($B$1:B263=B264),$P$1:P263),0),IFERROR(LOOKUP(2,1/($B$1:B263=B264),$P$1:P263),0)))</x:f>
      </x:c>
      <x:c r="Q264" t="str">
        <x:f>IFERROR($P264/$O264,"")</x:f>
      </x:c>
      <x:c r="R264" t="str">
        <x:f>IF(LOWER($D264)="sell",$M264-$N264-IFERROR(IFERROR(LOOKUP(2,1/($B$1:B263=B264),$P$1:P263),0)/IFERROR(LOOKUP(2,1/($B$1:B263=B264),$O$1:O263),0)*$E264,0),"")</x:f>
      </x:c>
      <x:c r="S264" t="str">
        <x:f>IF(COUNTA($A264:$D264)=0,"",IF($B264="","Missing symbol",IF($D264="","Missing action",IF(AND(LOWER($D264)="sell",$E264&gt;IFERROR(LOOKUP(2,1/($B$1:B263=B264),$O$1:O263),0)),"Sold more units than available","OK"))))</x:f>
      </x:c>
    </x:row>
    <x:row r="265">
      <x:c r="M265" t="str">
        <x:f>IF(COUNTA($A265:$D265)=0,"",IF($G265&lt;&gt;"",$G265,IF(AND($E265&lt;&gt;"",$F265&lt;&gt;""),$E265*$F265,""))*IF($J265&lt;&gt;"",$J265,1))</x:f>
      </x:c>
      <x:c r="N265" t="str">
        <x:f>IF(COUNTA($A265:$D265)=0,"",IF($H265&lt;&gt;"",$H265,0)*IF($J265&lt;&gt;"",$J265,1))</x:f>
      </x:c>
      <x:c r="O265" t="str">
        <x:f>IF(COUNTA($A265:$D265)=0,"",SWITCH(LOWER($D265),"buy",IFERROR(LOOKUP(2,1/($B$1:B264=B265),$O$1:O264),0)+$E265,"drip",IFERROR(LOOKUP(2,1/($B$1:B264=B265),$O$1:O264),0)+$E265,"sell",IFERROR(LOOKUP(2,1/($B$1:B264=B265),$O$1:O264),0)-$E265,"return_of_capital",IFERROR(LOOKUP(2,1/($B$1:B264=B265),$O$1:O264),0),"split",$E265,IFERROR(LOOKUP(2,1/($B$1:B264=B265),$O$1:O264),0)))</x:f>
      </x:c>
      <x:c r="P265" t="str">
        <x:f>IF(COUNTA($A265:$D265)=0,"",SWITCH(LOWER($D265),"buy",IFERROR(LOOKUP(2,1/($B$1:B264=B265),$P$1:P264),0)+$M265+$N265,"drip",IFERROR(LOOKUP(2,1/($B$1:B264=B265),$P$1:P264),0)+$M265+$N265,"sell",IFERROR(LOOKUP(2,1/($B$1:B264=B265),$P$1:P264),0)-IFERROR(IFERROR(LOOKUP(2,1/($B$1:B264=B265),$P$1:P264),0)/IFERROR(LOOKUP(2,1/($B$1:B264=B265),$O$1:O264),0)*$E265,0),"return_of_capital",IFERROR(LOOKUP(2,1/($B$1:B264=B265),$P$1:P264),0)-ABS($M265),"split",IFERROR(LOOKUP(2,1/($B$1:B264=B265),$P$1:P264),0),IFERROR(LOOKUP(2,1/($B$1:B264=B265),$P$1:P264),0)))</x:f>
      </x:c>
      <x:c r="Q265" t="str">
        <x:f>IFERROR($P265/$O265,"")</x:f>
      </x:c>
      <x:c r="R265" t="str">
        <x:f>IF(LOWER($D265)="sell",$M265-$N265-IFERROR(IFERROR(LOOKUP(2,1/($B$1:B264=B265),$P$1:P264),0)/IFERROR(LOOKUP(2,1/($B$1:B264=B265),$O$1:O264),0)*$E265,0),"")</x:f>
      </x:c>
      <x:c r="S265" t="str">
        <x:f>IF(COUNTA($A265:$D265)=0,"",IF($B265="","Missing symbol",IF($D265="","Missing action",IF(AND(LOWER($D265)="sell",$E265&gt;IFERROR(LOOKUP(2,1/($B$1:B264=B265),$O$1:O264),0)),"Sold more units than available","OK"))))</x:f>
      </x:c>
    </x:row>
    <x:row r="266">
      <x:c r="M266" t="str">
        <x:f>IF(COUNTA($A266:$D266)=0,"",IF($G266&lt;&gt;"",$G266,IF(AND($E266&lt;&gt;"",$F266&lt;&gt;""),$E266*$F266,""))*IF($J266&lt;&gt;"",$J266,1))</x:f>
      </x:c>
      <x:c r="N266" t="str">
        <x:f>IF(COUNTA($A266:$D266)=0,"",IF($H266&lt;&gt;"",$H266,0)*IF($J266&lt;&gt;"",$J266,1))</x:f>
      </x:c>
      <x:c r="O266" t="str">
        <x:f>IF(COUNTA($A266:$D266)=0,"",SWITCH(LOWER($D266),"buy",IFERROR(LOOKUP(2,1/($B$1:B265=B266),$O$1:O265),0)+$E266,"drip",IFERROR(LOOKUP(2,1/($B$1:B265=B266),$O$1:O265),0)+$E266,"sell",IFERROR(LOOKUP(2,1/($B$1:B265=B266),$O$1:O265),0)-$E266,"return_of_capital",IFERROR(LOOKUP(2,1/($B$1:B265=B266),$O$1:O265),0),"split",$E266,IFERROR(LOOKUP(2,1/($B$1:B265=B266),$O$1:O265),0)))</x:f>
      </x:c>
      <x:c r="P266" t="str">
        <x:f>IF(COUNTA($A266:$D266)=0,"",SWITCH(LOWER($D266),"buy",IFERROR(LOOKUP(2,1/($B$1:B265=B266),$P$1:P265),0)+$M266+$N266,"drip",IFERROR(LOOKUP(2,1/($B$1:B265=B266),$P$1:P265),0)+$M266+$N266,"sell",IFERROR(LOOKUP(2,1/($B$1:B265=B266),$P$1:P265),0)-IFERROR(IFERROR(LOOKUP(2,1/($B$1:B265=B266),$P$1:P265),0)/IFERROR(LOOKUP(2,1/($B$1:B265=B266),$O$1:O265),0)*$E266,0),"return_of_capital",IFERROR(LOOKUP(2,1/($B$1:B265=B266),$P$1:P265),0)-ABS($M266),"split",IFERROR(LOOKUP(2,1/($B$1:B265=B266),$P$1:P265),0),IFERROR(LOOKUP(2,1/($B$1:B265=B266),$P$1:P265),0)))</x:f>
      </x:c>
      <x:c r="Q266" t="str">
        <x:f>IFERROR($P266/$O266,"")</x:f>
      </x:c>
      <x:c r="R266" t="str">
        <x:f>IF(LOWER($D266)="sell",$M266-$N266-IFERROR(IFERROR(LOOKUP(2,1/($B$1:B265=B266),$P$1:P265),0)/IFERROR(LOOKUP(2,1/($B$1:B265=B266),$O$1:O265),0)*$E266,0),"")</x:f>
      </x:c>
      <x:c r="S266" t="str">
        <x:f>IF(COUNTA($A266:$D266)=0,"",IF($B266="","Missing symbol",IF($D266="","Missing action",IF(AND(LOWER($D266)="sell",$E266&gt;IFERROR(LOOKUP(2,1/($B$1:B265=B266),$O$1:O265),0)),"Sold more units than available","OK"))))</x:f>
      </x:c>
    </x:row>
    <x:row r="267">
      <x:c r="M267" t="str">
        <x:f>IF(COUNTA($A267:$D267)=0,"",IF($G267&lt;&gt;"",$G267,IF(AND($E267&lt;&gt;"",$F267&lt;&gt;""),$E267*$F267,""))*IF($J267&lt;&gt;"",$J267,1))</x:f>
      </x:c>
      <x:c r="N267" t="str">
        <x:f>IF(COUNTA($A267:$D267)=0,"",IF($H267&lt;&gt;"",$H267,0)*IF($J267&lt;&gt;"",$J267,1))</x:f>
      </x:c>
      <x:c r="O267" t="str">
        <x:f>IF(COUNTA($A267:$D267)=0,"",SWITCH(LOWER($D267),"buy",IFERROR(LOOKUP(2,1/($B$1:B266=B267),$O$1:O266),0)+$E267,"drip",IFERROR(LOOKUP(2,1/($B$1:B266=B267),$O$1:O266),0)+$E267,"sell",IFERROR(LOOKUP(2,1/($B$1:B266=B267),$O$1:O266),0)-$E267,"return_of_capital",IFERROR(LOOKUP(2,1/($B$1:B266=B267),$O$1:O266),0),"split",$E267,IFERROR(LOOKUP(2,1/($B$1:B266=B267),$O$1:O266),0)))</x:f>
      </x:c>
      <x:c r="P267" t="str">
        <x:f>IF(COUNTA($A267:$D267)=0,"",SWITCH(LOWER($D267),"buy",IFERROR(LOOKUP(2,1/($B$1:B266=B267),$P$1:P266),0)+$M267+$N267,"drip",IFERROR(LOOKUP(2,1/($B$1:B266=B267),$P$1:P266),0)+$M267+$N267,"sell",IFERROR(LOOKUP(2,1/($B$1:B266=B267),$P$1:P266),0)-IFERROR(IFERROR(LOOKUP(2,1/($B$1:B266=B267),$P$1:P266),0)/IFERROR(LOOKUP(2,1/($B$1:B266=B267),$O$1:O266),0)*$E267,0),"return_of_capital",IFERROR(LOOKUP(2,1/($B$1:B266=B267),$P$1:P266),0)-ABS($M267),"split",IFERROR(LOOKUP(2,1/($B$1:B266=B267),$P$1:P266),0),IFERROR(LOOKUP(2,1/($B$1:B266=B267),$P$1:P266),0)))</x:f>
      </x:c>
      <x:c r="Q267" t="str">
        <x:f>IFERROR($P267/$O267,"")</x:f>
      </x:c>
      <x:c r="R267" t="str">
        <x:f>IF(LOWER($D267)="sell",$M267-$N267-IFERROR(IFERROR(LOOKUP(2,1/($B$1:B266=B267),$P$1:P266),0)/IFERROR(LOOKUP(2,1/($B$1:B266=B267),$O$1:O266),0)*$E267,0),"")</x:f>
      </x:c>
      <x:c r="S267" t="str">
        <x:f>IF(COUNTA($A267:$D267)=0,"",IF($B267="","Missing symbol",IF($D267="","Missing action",IF(AND(LOWER($D267)="sell",$E267&gt;IFERROR(LOOKUP(2,1/($B$1:B266=B267),$O$1:O266),0)),"Sold more units than available","OK"))))</x:f>
      </x:c>
    </x:row>
    <x:row r="268">
      <x:c r="M268" t="str">
        <x:f>IF(COUNTA($A268:$D268)=0,"",IF($G268&lt;&gt;"",$G268,IF(AND($E268&lt;&gt;"",$F268&lt;&gt;""),$E268*$F268,""))*IF($J268&lt;&gt;"",$J268,1))</x:f>
      </x:c>
      <x:c r="N268" t="str">
        <x:f>IF(COUNTA($A268:$D268)=0,"",IF($H268&lt;&gt;"",$H268,0)*IF($J268&lt;&gt;"",$J268,1))</x:f>
      </x:c>
      <x:c r="O268" t="str">
        <x:f>IF(COUNTA($A268:$D268)=0,"",SWITCH(LOWER($D268),"buy",IFERROR(LOOKUP(2,1/($B$1:B267=B268),$O$1:O267),0)+$E268,"drip",IFERROR(LOOKUP(2,1/($B$1:B267=B268),$O$1:O267),0)+$E268,"sell",IFERROR(LOOKUP(2,1/($B$1:B267=B268),$O$1:O267),0)-$E268,"return_of_capital",IFERROR(LOOKUP(2,1/($B$1:B267=B268),$O$1:O267),0),"split",$E268,IFERROR(LOOKUP(2,1/($B$1:B267=B268),$O$1:O267),0)))</x:f>
      </x:c>
      <x:c r="P268" t="str">
        <x:f>IF(COUNTA($A268:$D268)=0,"",SWITCH(LOWER($D268),"buy",IFERROR(LOOKUP(2,1/($B$1:B267=B268),$P$1:P267),0)+$M268+$N268,"drip",IFERROR(LOOKUP(2,1/($B$1:B267=B268),$P$1:P267),0)+$M268+$N268,"sell",IFERROR(LOOKUP(2,1/($B$1:B267=B268),$P$1:P267),0)-IFERROR(IFERROR(LOOKUP(2,1/($B$1:B267=B268),$P$1:P267),0)/IFERROR(LOOKUP(2,1/($B$1:B267=B268),$O$1:O267),0)*$E268,0),"return_of_capital",IFERROR(LOOKUP(2,1/($B$1:B267=B268),$P$1:P267),0)-ABS($M268),"split",IFERROR(LOOKUP(2,1/($B$1:B267=B268),$P$1:P267),0),IFERROR(LOOKUP(2,1/($B$1:B267=B268),$P$1:P267),0)))</x:f>
      </x:c>
      <x:c r="Q268" t="str">
        <x:f>IFERROR($P268/$O268,"")</x:f>
      </x:c>
      <x:c r="R268" t="str">
        <x:f>IF(LOWER($D268)="sell",$M268-$N268-IFERROR(IFERROR(LOOKUP(2,1/($B$1:B267=B268),$P$1:P267),0)/IFERROR(LOOKUP(2,1/($B$1:B267=B268),$O$1:O267),0)*$E268,0),"")</x:f>
      </x:c>
      <x:c r="S268" t="str">
        <x:f>IF(COUNTA($A268:$D268)=0,"",IF($B268="","Missing symbol",IF($D268="","Missing action",IF(AND(LOWER($D268)="sell",$E268&gt;IFERROR(LOOKUP(2,1/($B$1:B267=B268),$O$1:O267),0)),"Sold more units than available","OK"))))</x:f>
      </x:c>
    </x:row>
    <x:row r="269">
      <x:c r="M269" t="str">
        <x:f>IF(COUNTA($A269:$D269)=0,"",IF($G269&lt;&gt;"",$G269,IF(AND($E269&lt;&gt;"",$F269&lt;&gt;""),$E269*$F269,""))*IF($J269&lt;&gt;"",$J269,1))</x:f>
      </x:c>
      <x:c r="N269" t="str">
        <x:f>IF(COUNTA($A269:$D269)=0,"",IF($H269&lt;&gt;"",$H269,0)*IF($J269&lt;&gt;"",$J269,1))</x:f>
      </x:c>
      <x:c r="O269" t="str">
        <x:f>IF(COUNTA($A269:$D269)=0,"",SWITCH(LOWER($D269),"buy",IFERROR(LOOKUP(2,1/($B$1:B268=B269),$O$1:O268),0)+$E269,"drip",IFERROR(LOOKUP(2,1/($B$1:B268=B269),$O$1:O268),0)+$E269,"sell",IFERROR(LOOKUP(2,1/($B$1:B268=B269),$O$1:O268),0)-$E269,"return_of_capital",IFERROR(LOOKUP(2,1/($B$1:B268=B269),$O$1:O268),0),"split",$E269,IFERROR(LOOKUP(2,1/($B$1:B268=B269),$O$1:O268),0)))</x:f>
      </x:c>
      <x:c r="P269" t="str">
        <x:f>IF(COUNTA($A269:$D269)=0,"",SWITCH(LOWER($D269),"buy",IFERROR(LOOKUP(2,1/($B$1:B268=B269),$P$1:P268),0)+$M269+$N269,"drip",IFERROR(LOOKUP(2,1/($B$1:B268=B269),$P$1:P268),0)+$M269+$N269,"sell",IFERROR(LOOKUP(2,1/($B$1:B268=B269),$P$1:P268),0)-IFERROR(IFERROR(LOOKUP(2,1/($B$1:B268=B269),$P$1:P268),0)/IFERROR(LOOKUP(2,1/($B$1:B268=B269),$O$1:O268),0)*$E269,0),"return_of_capital",IFERROR(LOOKUP(2,1/($B$1:B268=B269),$P$1:P268),0)-ABS($M269),"split",IFERROR(LOOKUP(2,1/($B$1:B268=B269),$P$1:P268),0),IFERROR(LOOKUP(2,1/($B$1:B268=B269),$P$1:P268),0)))</x:f>
      </x:c>
      <x:c r="Q269" t="str">
        <x:f>IFERROR($P269/$O269,"")</x:f>
      </x:c>
      <x:c r="R269" t="str">
        <x:f>IF(LOWER($D269)="sell",$M269-$N269-IFERROR(IFERROR(LOOKUP(2,1/($B$1:B268=B269),$P$1:P268),0)/IFERROR(LOOKUP(2,1/($B$1:B268=B269),$O$1:O268),0)*$E269,0),"")</x:f>
      </x:c>
      <x:c r="S269" t="str">
        <x:f>IF(COUNTA($A269:$D269)=0,"",IF($B269="","Missing symbol",IF($D269="","Missing action",IF(AND(LOWER($D269)="sell",$E269&gt;IFERROR(LOOKUP(2,1/($B$1:B268=B269),$O$1:O268),0)),"Sold more units than available","OK"))))</x:f>
      </x:c>
    </x:row>
    <x:row r="270">
      <x:c r="M270" t="str">
        <x:f>IF(COUNTA($A270:$D270)=0,"",IF($G270&lt;&gt;"",$G270,IF(AND($E270&lt;&gt;"",$F270&lt;&gt;""),$E270*$F270,""))*IF($J270&lt;&gt;"",$J270,1))</x:f>
      </x:c>
      <x:c r="N270" t="str">
        <x:f>IF(COUNTA($A270:$D270)=0,"",IF($H270&lt;&gt;"",$H270,0)*IF($J270&lt;&gt;"",$J270,1))</x:f>
      </x:c>
      <x:c r="O270" t="str">
        <x:f>IF(COUNTA($A270:$D270)=0,"",SWITCH(LOWER($D270),"buy",IFERROR(LOOKUP(2,1/($B$1:B269=B270),$O$1:O269),0)+$E270,"drip",IFERROR(LOOKUP(2,1/($B$1:B269=B270),$O$1:O269),0)+$E270,"sell",IFERROR(LOOKUP(2,1/($B$1:B269=B270),$O$1:O269),0)-$E270,"return_of_capital",IFERROR(LOOKUP(2,1/($B$1:B269=B270),$O$1:O269),0),"split",$E270,IFERROR(LOOKUP(2,1/($B$1:B269=B270),$O$1:O269),0)))</x:f>
      </x:c>
      <x:c r="P270" t="str">
        <x:f>IF(COUNTA($A270:$D270)=0,"",SWITCH(LOWER($D270),"buy",IFERROR(LOOKUP(2,1/($B$1:B269=B270),$P$1:P269),0)+$M270+$N270,"drip",IFERROR(LOOKUP(2,1/($B$1:B269=B270),$P$1:P269),0)+$M270+$N270,"sell",IFERROR(LOOKUP(2,1/($B$1:B269=B270),$P$1:P269),0)-IFERROR(IFERROR(LOOKUP(2,1/($B$1:B269=B270),$P$1:P269),0)/IFERROR(LOOKUP(2,1/($B$1:B269=B270),$O$1:O269),0)*$E270,0),"return_of_capital",IFERROR(LOOKUP(2,1/($B$1:B269=B270),$P$1:P269),0)-ABS($M270),"split",IFERROR(LOOKUP(2,1/($B$1:B269=B270),$P$1:P269),0),IFERROR(LOOKUP(2,1/($B$1:B269=B270),$P$1:P269),0)))</x:f>
      </x:c>
      <x:c r="Q270" t="str">
        <x:f>IFERROR($P270/$O270,"")</x:f>
      </x:c>
      <x:c r="R270" t="str">
        <x:f>IF(LOWER($D270)="sell",$M270-$N270-IFERROR(IFERROR(LOOKUP(2,1/($B$1:B269=B270),$P$1:P269),0)/IFERROR(LOOKUP(2,1/($B$1:B269=B270),$O$1:O269),0)*$E270,0),"")</x:f>
      </x:c>
      <x:c r="S270" t="str">
        <x:f>IF(COUNTA($A270:$D270)=0,"",IF($B270="","Missing symbol",IF($D270="","Missing action",IF(AND(LOWER($D270)="sell",$E270&gt;IFERROR(LOOKUP(2,1/($B$1:B269=B270),$O$1:O269),0)),"Sold more units than available","OK"))))</x:f>
      </x:c>
    </x:row>
    <x:row r="271">
      <x:c r="M271" t="str">
        <x:f>IF(COUNTA($A271:$D271)=0,"",IF($G271&lt;&gt;"",$G271,IF(AND($E271&lt;&gt;"",$F271&lt;&gt;""),$E271*$F271,""))*IF($J271&lt;&gt;"",$J271,1))</x:f>
      </x:c>
      <x:c r="N271" t="str">
        <x:f>IF(COUNTA($A271:$D271)=0,"",IF($H271&lt;&gt;"",$H271,0)*IF($J271&lt;&gt;"",$J271,1))</x:f>
      </x:c>
      <x:c r="O271" t="str">
        <x:f>IF(COUNTA($A271:$D271)=0,"",SWITCH(LOWER($D271),"buy",IFERROR(LOOKUP(2,1/($B$1:B270=B271),$O$1:O270),0)+$E271,"drip",IFERROR(LOOKUP(2,1/($B$1:B270=B271),$O$1:O270),0)+$E271,"sell",IFERROR(LOOKUP(2,1/($B$1:B270=B271),$O$1:O270),0)-$E271,"return_of_capital",IFERROR(LOOKUP(2,1/($B$1:B270=B271),$O$1:O270),0),"split",$E271,IFERROR(LOOKUP(2,1/($B$1:B270=B271),$O$1:O270),0)))</x:f>
      </x:c>
      <x:c r="P271" t="str">
        <x:f>IF(COUNTA($A271:$D271)=0,"",SWITCH(LOWER($D271),"buy",IFERROR(LOOKUP(2,1/($B$1:B270=B271),$P$1:P270),0)+$M271+$N271,"drip",IFERROR(LOOKUP(2,1/($B$1:B270=B271),$P$1:P270),0)+$M271+$N271,"sell",IFERROR(LOOKUP(2,1/($B$1:B270=B271),$P$1:P270),0)-IFERROR(IFERROR(LOOKUP(2,1/($B$1:B270=B271),$P$1:P270),0)/IFERROR(LOOKUP(2,1/($B$1:B270=B271),$O$1:O270),0)*$E271,0),"return_of_capital",IFERROR(LOOKUP(2,1/($B$1:B270=B271),$P$1:P270),0)-ABS($M271),"split",IFERROR(LOOKUP(2,1/($B$1:B270=B271),$P$1:P270),0),IFERROR(LOOKUP(2,1/($B$1:B270=B271),$P$1:P270),0)))</x:f>
      </x:c>
      <x:c r="Q271" t="str">
        <x:f>IFERROR($P271/$O271,"")</x:f>
      </x:c>
      <x:c r="R271" t="str">
        <x:f>IF(LOWER($D271)="sell",$M271-$N271-IFERROR(IFERROR(LOOKUP(2,1/($B$1:B270=B271),$P$1:P270),0)/IFERROR(LOOKUP(2,1/($B$1:B270=B271),$O$1:O270),0)*$E271,0),"")</x:f>
      </x:c>
      <x:c r="S271" t="str">
        <x:f>IF(COUNTA($A271:$D271)=0,"",IF($B271="","Missing symbol",IF($D271="","Missing action",IF(AND(LOWER($D271)="sell",$E271&gt;IFERROR(LOOKUP(2,1/($B$1:B270=B271),$O$1:O270),0)),"Sold more units than available","OK"))))</x:f>
      </x:c>
    </x:row>
    <x:row r="272">
      <x:c r="M272" t="str">
        <x:f>IF(COUNTA($A272:$D272)=0,"",IF($G272&lt;&gt;"",$G272,IF(AND($E272&lt;&gt;"",$F272&lt;&gt;""),$E272*$F272,""))*IF($J272&lt;&gt;"",$J272,1))</x:f>
      </x:c>
      <x:c r="N272" t="str">
        <x:f>IF(COUNTA($A272:$D272)=0,"",IF($H272&lt;&gt;"",$H272,0)*IF($J272&lt;&gt;"",$J272,1))</x:f>
      </x:c>
      <x:c r="O272" t="str">
        <x:f>IF(COUNTA($A272:$D272)=0,"",SWITCH(LOWER($D272),"buy",IFERROR(LOOKUP(2,1/($B$1:B271=B272),$O$1:O271),0)+$E272,"drip",IFERROR(LOOKUP(2,1/($B$1:B271=B272),$O$1:O271),0)+$E272,"sell",IFERROR(LOOKUP(2,1/($B$1:B271=B272),$O$1:O271),0)-$E272,"return_of_capital",IFERROR(LOOKUP(2,1/($B$1:B271=B272),$O$1:O271),0),"split",$E272,IFERROR(LOOKUP(2,1/($B$1:B271=B272),$O$1:O271),0)))</x:f>
      </x:c>
      <x:c r="P272" t="str">
        <x:f>IF(COUNTA($A272:$D272)=0,"",SWITCH(LOWER($D272),"buy",IFERROR(LOOKUP(2,1/($B$1:B271=B272),$P$1:P271),0)+$M272+$N272,"drip",IFERROR(LOOKUP(2,1/($B$1:B271=B272),$P$1:P271),0)+$M272+$N272,"sell",IFERROR(LOOKUP(2,1/($B$1:B271=B272),$P$1:P271),0)-IFERROR(IFERROR(LOOKUP(2,1/($B$1:B271=B272),$P$1:P271),0)/IFERROR(LOOKUP(2,1/($B$1:B271=B272),$O$1:O271),0)*$E272,0),"return_of_capital",IFERROR(LOOKUP(2,1/($B$1:B271=B272),$P$1:P271),0)-ABS($M272),"split",IFERROR(LOOKUP(2,1/($B$1:B271=B272),$P$1:P271),0),IFERROR(LOOKUP(2,1/($B$1:B271=B272),$P$1:P271),0)))</x:f>
      </x:c>
      <x:c r="Q272" t="str">
        <x:f>IFERROR($P272/$O272,"")</x:f>
      </x:c>
      <x:c r="R272" t="str">
        <x:f>IF(LOWER($D272)="sell",$M272-$N272-IFERROR(IFERROR(LOOKUP(2,1/($B$1:B271=B272),$P$1:P271),0)/IFERROR(LOOKUP(2,1/($B$1:B271=B272),$O$1:O271),0)*$E272,0),"")</x:f>
      </x:c>
      <x:c r="S272" t="str">
        <x:f>IF(COUNTA($A272:$D272)=0,"",IF($B272="","Missing symbol",IF($D272="","Missing action",IF(AND(LOWER($D272)="sell",$E272&gt;IFERROR(LOOKUP(2,1/($B$1:B271=B272),$O$1:O271),0)),"Sold more units than available","OK"))))</x:f>
      </x:c>
    </x:row>
    <x:row r="273">
      <x:c r="M273" t="str">
        <x:f>IF(COUNTA($A273:$D273)=0,"",IF($G273&lt;&gt;"",$G273,IF(AND($E273&lt;&gt;"",$F273&lt;&gt;""),$E273*$F273,""))*IF($J273&lt;&gt;"",$J273,1))</x:f>
      </x:c>
      <x:c r="N273" t="str">
        <x:f>IF(COUNTA($A273:$D273)=0,"",IF($H273&lt;&gt;"",$H273,0)*IF($J273&lt;&gt;"",$J273,1))</x:f>
      </x:c>
      <x:c r="O273" t="str">
        <x:f>IF(COUNTA($A273:$D273)=0,"",SWITCH(LOWER($D273),"buy",IFERROR(LOOKUP(2,1/($B$1:B272=B273),$O$1:O272),0)+$E273,"drip",IFERROR(LOOKUP(2,1/($B$1:B272=B273),$O$1:O272),0)+$E273,"sell",IFERROR(LOOKUP(2,1/($B$1:B272=B273),$O$1:O272),0)-$E273,"return_of_capital",IFERROR(LOOKUP(2,1/($B$1:B272=B273),$O$1:O272),0),"split",$E273,IFERROR(LOOKUP(2,1/($B$1:B272=B273),$O$1:O272),0)))</x:f>
      </x:c>
      <x:c r="P273" t="str">
        <x:f>IF(COUNTA($A273:$D273)=0,"",SWITCH(LOWER($D273),"buy",IFERROR(LOOKUP(2,1/($B$1:B272=B273),$P$1:P272),0)+$M273+$N273,"drip",IFERROR(LOOKUP(2,1/($B$1:B272=B273),$P$1:P272),0)+$M273+$N273,"sell",IFERROR(LOOKUP(2,1/($B$1:B272=B273),$P$1:P272),0)-IFERROR(IFERROR(LOOKUP(2,1/($B$1:B272=B273),$P$1:P272),0)/IFERROR(LOOKUP(2,1/($B$1:B272=B273),$O$1:O272),0)*$E273,0),"return_of_capital",IFERROR(LOOKUP(2,1/($B$1:B272=B273),$P$1:P272),0)-ABS($M273),"split",IFERROR(LOOKUP(2,1/($B$1:B272=B273),$P$1:P272),0),IFERROR(LOOKUP(2,1/($B$1:B272=B273),$P$1:P272),0)))</x:f>
      </x:c>
      <x:c r="Q273" t="str">
        <x:f>IFERROR($P273/$O273,"")</x:f>
      </x:c>
      <x:c r="R273" t="str">
        <x:f>IF(LOWER($D273)="sell",$M273-$N273-IFERROR(IFERROR(LOOKUP(2,1/($B$1:B272=B273),$P$1:P272),0)/IFERROR(LOOKUP(2,1/($B$1:B272=B273),$O$1:O272),0)*$E273,0),"")</x:f>
      </x:c>
      <x:c r="S273" t="str">
        <x:f>IF(COUNTA($A273:$D273)=0,"",IF($B273="","Missing symbol",IF($D273="","Missing action",IF(AND(LOWER($D273)="sell",$E273&gt;IFERROR(LOOKUP(2,1/($B$1:B272=B273),$O$1:O272),0)),"Sold more units than available","OK"))))</x:f>
      </x:c>
    </x:row>
    <x:row r="274">
      <x:c r="M274" t="str">
        <x:f>IF(COUNTA($A274:$D274)=0,"",IF($G274&lt;&gt;"",$G274,IF(AND($E274&lt;&gt;"",$F274&lt;&gt;""),$E274*$F274,""))*IF($J274&lt;&gt;"",$J274,1))</x:f>
      </x:c>
      <x:c r="N274" t="str">
        <x:f>IF(COUNTA($A274:$D274)=0,"",IF($H274&lt;&gt;"",$H274,0)*IF($J274&lt;&gt;"",$J274,1))</x:f>
      </x:c>
      <x:c r="O274" t="str">
        <x:f>IF(COUNTA($A274:$D274)=0,"",SWITCH(LOWER($D274),"buy",IFERROR(LOOKUP(2,1/($B$1:B273=B274),$O$1:O273),0)+$E274,"drip",IFERROR(LOOKUP(2,1/($B$1:B273=B274),$O$1:O273),0)+$E274,"sell",IFERROR(LOOKUP(2,1/($B$1:B273=B274),$O$1:O273),0)-$E274,"return_of_capital",IFERROR(LOOKUP(2,1/($B$1:B273=B274),$O$1:O273),0),"split",$E274,IFERROR(LOOKUP(2,1/($B$1:B273=B274),$O$1:O273),0)))</x:f>
      </x:c>
      <x:c r="P274" t="str">
        <x:f>IF(COUNTA($A274:$D274)=0,"",SWITCH(LOWER($D274),"buy",IFERROR(LOOKUP(2,1/($B$1:B273=B274),$P$1:P273),0)+$M274+$N274,"drip",IFERROR(LOOKUP(2,1/($B$1:B273=B274),$P$1:P273),0)+$M274+$N274,"sell",IFERROR(LOOKUP(2,1/($B$1:B273=B274),$P$1:P273),0)-IFERROR(IFERROR(LOOKUP(2,1/($B$1:B273=B274),$P$1:P273),0)/IFERROR(LOOKUP(2,1/($B$1:B273=B274),$O$1:O273),0)*$E274,0),"return_of_capital",IFERROR(LOOKUP(2,1/($B$1:B273=B274),$P$1:P273),0)-ABS($M274),"split",IFERROR(LOOKUP(2,1/($B$1:B273=B274),$P$1:P273),0),IFERROR(LOOKUP(2,1/($B$1:B273=B274),$P$1:P273),0)))</x:f>
      </x:c>
      <x:c r="Q274" t="str">
        <x:f>IFERROR($P274/$O274,"")</x:f>
      </x:c>
      <x:c r="R274" t="str">
        <x:f>IF(LOWER($D274)="sell",$M274-$N274-IFERROR(IFERROR(LOOKUP(2,1/($B$1:B273=B274),$P$1:P273),0)/IFERROR(LOOKUP(2,1/($B$1:B273=B274),$O$1:O273),0)*$E274,0),"")</x:f>
      </x:c>
      <x:c r="S274" t="str">
        <x:f>IF(COUNTA($A274:$D274)=0,"",IF($B274="","Missing symbol",IF($D274="","Missing action",IF(AND(LOWER($D274)="sell",$E274&gt;IFERROR(LOOKUP(2,1/($B$1:B273=B274),$O$1:O273),0)),"Sold more units than available","OK"))))</x:f>
      </x:c>
    </x:row>
    <x:row r="275">
      <x:c r="M275" t="str">
        <x:f>IF(COUNTA($A275:$D275)=0,"",IF($G275&lt;&gt;"",$G275,IF(AND($E275&lt;&gt;"",$F275&lt;&gt;""),$E275*$F275,""))*IF($J275&lt;&gt;"",$J275,1))</x:f>
      </x:c>
      <x:c r="N275" t="str">
        <x:f>IF(COUNTA($A275:$D275)=0,"",IF($H275&lt;&gt;"",$H275,0)*IF($J275&lt;&gt;"",$J275,1))</x:f>
      </x:c>
      <x:c r="O275" t="str">
        <x:f>IF(COUNTA($A275:$D275)=0,"",SWITCH(LOWER($D275),"buy",IFERROR(LOOKUP(2,1/($B$1:B274=B275),$O$1:O274),0)+$E275,"drip",IFERROR(LOOKUP(2,1/($B$1:B274=B275),$O$1:O274),0)+$E275,"sell",IFERROR(LOOKUP(2,1/($B$1:B274=B275),$O$1:O274),0)-$E275,"return_of_capital",IFERROR(LOOKUP(2,1/($B$1:B274=B275),$O$1:O274),0),"split",$E275,IFERROR(LOOKUP(2,1/($B$1:B274=B275),$O$1:O274),0)))</x:f>
      </x:c>
      <x:c r="P275" t="str">
        <x:f>IF(COUNTA($A275:$D275)=0,"",SWITCH(LOWER($D275),"buy",IFERROR(LOOKUP(2,1/($B$1:B274=B275),$P$1:P274),0)+$M275+$N275,"drip",IFERROR(LOOKUP(2,1/($B$1:B274=B275),$P$1:P274),0)+$M275+$N275,"sell",IFERROR(LOOKUP(2,1/($B$1:B274=B275),$P$1:P274),0)-IFERROR(IFERROR(LOOKUP(2,1/($B$1:B274=B275),$P$1:P274),0)/IFERROR(LOOKUP(2,1/($B$1:B274=B275),$O$1:O274),0)*$E275,0),"return_of_capital",IFERROR(LOOKUP(2,1/($B$1:B274=B275),$P$1:P274),0)-ABS($M275),"split",IFERROR(LOOKUP(2,1/($B$1:B274=B275),$P$1:P274),0),IFERROR(LOOKUP(2,1/($B$1:B274=B275),$P$1:P274),0)))</x:f>
      </x:c>
      <x:c r="Q275" t="str">
        <x:f>IFERROR($P275/$O275,"")</x:f>
      </x:c>
      <x:c r="R275" t="str">
        <x:f>IF(LOWER($D275)="sell",$M275-$N275-IFERROR(IFERROR(LOOKUP(2,1/($B$1:B274=B275),$P$1:P274),0)/IFERROR(LOOKUP(2,1/($B$1:B274=B275),$O$1:O274),0)*$E275,0),"")</x:f>
      </x:c>
      <x:c r="S275" t="str">
        <x:f>IF(COUNTA($A275:$D275)=0,"",IF($B275="","Missing symbol",IF($D275="","Missing action",IF(AND(LOWER($D275)="sell",$E275&gt;IFERROR(LOOKUP(2,1/($B$1:B274=B275),$O$1:O274),0)),"Sold more units than available","OK"))))</x:f>
      </x:c>
    </x:row>
    <x:row r="276">
      <x:c r="M276" t="str">
        <x:f>IF(COUNTA($A276:$D276)=0,"",IF($G276&lt;&gt;"",$G276,IF(AND($E276&lt;&gt;"",$F276&lt;&gt;""),$E276*$F276,""))*IF($J276&lt;&gt;"",$J276,1))</x:f>
      </x:c>
      <x:c r="N276" t="str">
        <x:f>IF(COUNTA($A276:$D276)=0,"",IF($H276&lt;&gt;"",$H276,0)*IF($J276&lt;&gt;"",$J276,1))</x:f>
      </x:c>
      <x:c r="O276" t="str">
        <x:f>IF(COUNTA($A276:$D276)=0,"",SWITCH(LOWER($D276),"buy",IFERROR(LOOKUP(2,1/($B$1:B275=B276),$O$1:O275),0)+$E276,"drip",IFERROR(LOOKUP(2,1/($B$1:B275=B276),$O$1:O275),0)+$E276,"sell",IFERROR(LOOKUP(2,1/($B$1:B275=B276),$O$1:O275),0)-$E276,"return_of_capital",IFERROR(LOOKUP(2,1/($B$1:B275=B276),$O$1:O275),0),"split",$E276,IFERROR(LOOKUP(2,1/($B$1:B275=B276),$O$1:O275),0)))</x:f>
      </x:c>
      <x:c r="P276" t="str">
        <x:f>IF(COUNTA($A276:$D276)=0,"",SWITCH(LOWER($D276),"buy",IFERROR(LOOKUP(2,1/($B$1:B275=B276),$P$1:P275),0)+$M276+$N276,"drip",IFERROR(LOOKUP(2,1/($B$1:B275=B276),$P$1:P275),0)+$M276+$N276,"sell",IFERROR(LOOKUP(2,1/($B$1:B275=B276),$P$1:P275),0)-IFERROR(IFERROR(LOOKUP(2,1/($B$1:B275=B276),$P$1:P275),0)/IFERROR(LOOKUP(2,1/($B$1:B275=B276),$O$1:O275),0)*$E276,0),"return_of_capital",IFERROR(LOOKUP(2,1/($B$1:B275=B276),$P$1:P275),0)-ABS($M276),"split",IFERROR(LOOKUP(2,1/($B$1:B275=B276),$P$1:P275),0),IFERROR(LOOKUP(2,1/($B$1:B275=B276),$P$1:P275),0)))</x:f>
      </x:c>
      <x:c r="Q276" t="str">
        <x:f>IFERROR($P276/$O276,"")</x:f>
      </x:c>
      <x:c r="R276" t="str">
        <x:f>IF(LOWER($D276)="sell",$M276-$N276-IFERROR(IFERROR(LOOKUP(2,1/($B$1:B275=B276),$P$1:P275),0)/IFERROR(LOOKUP(2,1/($B$1:B275=B276),$O$1:O275),0)*$E276,0),"")</x:f>
      </x:c>
      <x:c r="S276" t="str">
        <x:f>IF(COUNTA($A276:$D276)=0,"",IF($B276="","Missing symbol",IF($D276="","Missing action",IF(AND(LOWER($D276)="sell",$E276&gt;IFERROR(LOOKUP(2,1/($B$1:B275=B276),$O$1:O275),0)),"Sold more units than available","OK"))))</x:f>
      </x:c>
    </x:row>
    <x:row r="277">
      <x:c r="M277" t="str">
        <x:f>IF(COUNTA($A277:$D277)=0,"",IF($G277&lt;&gt;"",$G277,IF(AND($E277&lt;&gt;"",$F277&lt;&gt;""),$E277*$F277,""))*IF($J277&lt;&gt;"",$J277,1))</x:f>
      </x:c>
      <x:c r="N277" t="str">
        <x:f>IF(COUNTA($A277:$D277)=0,"",IF($H277&lt;&gt;"",$H277,0)*IF($J277&lt;&gt;"",$J277,1))</x:f>
      </x:c>
      <x:c r="O277" t="str">
        <x:f>IF(COUNTA($A277:$D277)=0,"",SWITCH(LOWER($D277),"buy",IFERROR(LOOKUP(2,1/($B$1:B276=B277),$O$1:O276),0)+$E277,"drip",IFERROR(LOOKUP(2,1/($B$1:B276=B277),$O$1:O276),0)+$E277,"sell",IFERROR(LOOKUP(2,1/($B$1:B276=B277),$O$1:O276),0)-$E277,"return_of_capital",IFERROR(LOOKUP(2,1/($B$1:B276=B277),$O$1:O276),0),"split",$E277,IFERROR(LOOKUP(2,1/($B$1:B276=B277),$O$1:O276),0)))</x:f>
      </x:c>
      <x:c r="P277" t="str">
        <x:f>IF(COUNTA($A277:$D277)=0,"",SWITCH(LOWER($D277),"buy",IFERROR(LOOKUP(2,1/($B$1:B276=B277),$P$1:P276),0)+$M277+$N277,"drip",IFERROR(LOOKUP(2,1/($B$1:B276=B277),$P$1:P276),0)+$M277+$N277,"sell",IFERROR(LOOKUP(2,1/($B$1:B276=B277),$P$1:P276),0)-IFERROR(IFERROR(LOOKUP(2,1/($B$1:B276=B277),$P$1:P276),0)/IFERROR(LOOKUP(2,1/($B$1:B276=B277),$O$1:O276),0)*$E277,0),"return_of_capital",IFERROR(LOOKUP(2,1/($B$1:B276=B277),$P$1:P276),0)-ABS($M277),"split",IFERROR(LOOKUP(2,1/($B$1:B276=B277),$P$1:P276),0),IFERROR(LOOKUP(2,1/($B$1:B276=B277),$P$1:P276),0)))</x:f>
      </x:c>
      <x:c r="Q277" t="str">
        <x:f>IFERROR($P277/$O277,"")</x:f>
      </x:c>
      <x:c r="R277" t="str">
        <x:f>IF(LOWER($D277)="sell",$M277-$N277-IFERROR(IFERROR(LOOKUP(2,1/($B$1:B276=B277),$P$1:P276),0)/IFERROR(LOOKUP(2,1/($B$1:B276=B277),$O$1:O276),0)*$E277,0),"")</x:f>
      </x:c>
      <x:c r="S277" t="str">
        <x:f>IF(COUNTA($A277:$D277)=0,"",IF($B277="","Missing symbol",IF($D277="","Missing action",IF(AND(LOWER($D277)="sell",$E277&gt;IFERROR(LOOKUP(2,1/($B$1:B276=B277),$O$1:O276),0)),"Sold more units than available","OK"))))</x:f>
      </x:c>
    </x:row>
    <x:row r="278">
      <x:c r="M278" t="str">
        <x:f>IF(COUNTA($A278:$D278)=0,"",IF($G278&lt;&gt;"",$G278,IF(AND($E278&lt;&gt;"",$F278&lt;&gt;""),$E278*$F278,""))*IF($J278&lt;&gt;"",$J278,1))</x:f>
      </x:c>
      <x:c r="N278" t="str">
        <x:f>IF(COUNTA($A278:$D278)=0,"",IF($H278&lt;&gt;"",$H278,0)*IF($J278&lt;&gt;"",$J278,1))</x:f>
      </x:c>
      <x:c r="O278" t="str">
        <x:f>IF(COUNTA($A278:$D278)=0,"",SWITCH(LOWER($D278),"buy",IFERROR(LOOKUP(2,1/($B$1:B277=B278),$O$1:O277),0)+$E278,"drip",IFERROR(LOOKUP(2,1/($B$1:B277=B278),$O$1:O277),0)+$E278,"sell",IFERROR(LOOKUP(2,1/($B$1:B277=B278),$O$1:O277),0)-$E278,"return_of_capital",IFERROR(LOOKUP(2,1/($B$1:B277=B278),$O$1:O277),0),"split",$E278,IFERROR(LOOKUP(2,1/($B$1:B277=B278),$O$1:O277),0)))</x:f>
      </x:c>
      <x:c r="P278" t="str">
        <x:f>IF(COUNTA($A278:$D278)=0,"",SWITCH(LOWER($D278),"buy",IFERROR(LOOKUP(2,1/($B$1:B277=B278),$P$1:P277),0)+$M278+$N278,"drip",IFERROR(LOOKUP(2,1/($B$1:B277=B278),$P$1:P277),0)+$M278+$N278,"sell",IFERROR(LOOKUP(2,1/($B$1:B277=B278),$P$1:P277),0)-IFERROR(IFERROR(LOOKUP(2,1/($B$1:B277=B278),$P$1:P277),0)/IFERROR(LOOKUP(2,1/($B$1:B277=B278),$O$1:O277),0)*$E278,0),"return_of_capital",IFERROR(LOOKUP(2,1/($B$1:B277=B278),$P$1:P277),0)-ABS($M278),"split",IFERROR(LOOKUP(2,1/($B$1:B277=B278),$P$1:P277),0),IFERROR(LOOKUP(2,1/($B$1:B277=B278),$P$1:P277),0)))</x:f>
      </x:c>
      <x:c r="Q278" t="str">
        <x:f>IFERROR($P278/$O278,"")</x:f>
      </x:c>
      <x:c r="R278" t="str">
        <x:f>IF(LOWER($D278)="sell",$M278-$N278-IFERROR(IFERROR(LOOKUP(2,1/($B$1:B277=B278),$P$1:P277),0)/IFERROR(LOOKUP(2,1/($B$1:B277=B278),$O$1:O277),0)*$E278,0),"")</x:f>
      </x:c>
      <x:c r="S278" t="str">
        <x:f>IF(COUNTA($A278:$D278)=0,"",IF($B278="","Missing symbol",IF($D278="","Missing action",IF(AND(LOWER($D278)="sell",$E278&gt;IFERROR(LOOKUP(2,1/($B$1:B277=B278),$O$1:O277),0)),"Sold more units than available","OK"))))</x:f>
      </x:c>
    </x:row>
    <x:row r="279">
      <x:c r="M279" t="str">
        <x:f>IF(COUNTA($A279:$D279)=0,"",IF($G279&lt;&gt;"",$G279,IF(AND($E279&lt;&gt;"",$F279&lt;&gt;""),$E279*$F279,""))*IF($J279&lt;&gt;"",$J279,1))</x:f>
      </x:c>
      <x:c r="N279" t="str">
        <x:f>IF(COUNTA($A279:$D279)=0,"",IF($H279&lt;&gt;"",$H279,0)*IF($J279&lt;&gt;"",$J279,1))</x:f>
      </x:c>
      <x:c r="O279" t="str">
        <x:f>IF(COUNTA($A279:$D279)=0,"",SWITCH(LOWER($D279),"buy",IFERROR(LOOKUP(2,1/($B$1:B278=B279),$O$1:O278),0)+$E279,"drip",IFERROR(LOOKUP(2,1/($B$1:B278=B279),$O$1:O278),0)+$E279,"sell",IFERROR(LOOKUP(2,1/($B$1:B278=B279),$O$1:O278),0)-$E279,"return_of_capital",IFERROR(LOOKUP(2,1/($B$1:B278=B279),$O$1:O278),0),"split",$E279,IFERROR(LOOKUP(2,1/($B$1:B278=B279),$O$1:O278),0)))</x:f>
      </x:c>
      <x:c r="P279" t="str">
        <x:f>IF(COUNTA($A279:$D279)=0,"",SWITCH(LOWER($D279),"buy",IFERROR(LOOKUP(2,1/($B$1:B278=B279),$P$1:P278),0)+$M279+$N279,"drip",IFERROR(LOOKUP(2,1/($B$1:B278=B279),$P$1:P278),0)+$M279+$N279,"sell",IFERROR(LOOKUP(2,1/($B$1:B278=B279),$P$1:P278),0)-IFERROR(IFERROR(LOOKUP(2,1/($B$1:B278=B279),$P$1:P278),0)/IFERROR(LOOKUP(2,1/($B$1:B278=B279),$O$1:O278),0)*$E279,0),"return_of_capital",IFERROR(LOOKUP(2,1/($B$1:B278=B279),$P$1:P278),0)-ABS($M279),"split",IFERROR(LOOKUP(2,1/($B$1:B278=B279),$P$1:P278),0),IFERROR(LOOKUP(2,1/($B$1:B278=B279),$P$1:P278),0)))</x:f>
      </x:c>
      <x:c r="Q279" t="str">
        <x:f>IFERROR($P279/$O279,"")</x:f>
      </x:c>
      <x:c r="R279" t="str">
        <x:f>IF(LOWER($D279)="sell",$M279-$N279-IFERROR(IFERROR(LOOKUP(2,1/($B$1:B278=B279),$P$1:P278),0)/IFERROR(LOOKUP(2,1/($B$1:B278=B279),$O$1:O278),0)*$E279,0),"")</x:f>
      </x:c>
      <x:c r="S279" t="str">
        <x:f>IF(COUNTA($A279:$D279)=0,"",IF($B279="","Missing symbol",IF($D279="","Missing action",IF(AND(LOWER($D279)="sell",$E279&gt;IFERROR(LOOKUP(2,1/($B$1:B278=B279),$O$1:O278),0)),"Sold more units than available","OK"))))</x:f>
      </x:c>
    </x:row>
    <x:row r="280">
      <x:c r="M280" t="str">
        <x:f>IF(COUNTA($A280:$D280)=0,"",IF($G280&lt;&gt;"",$G280,IF(AND($E280&lt;&gt;"",$F280&lt;&gt;""),$E280*$F280,""))*IF($J280&lt;&gt;"",$J280,1))</x:f>
      </x:c>
      <x:c r="N280" t="str">
        <x:f>IF(COUNTA($A280:$D280)=0,"",IF($H280&lt;&gt;"",$H280,0)*IF($J280&lt;&gt;"",$J280,1))</x:f>
      </x:c>
      <x:c r="O280" t="str">
        <x:f>IF(COUNTA($A280:$D280)=0,"",SWITCH(LOWER($D280),"buy",IFERROR(LOOKUP(2,1/($B$1:B279=B280),$O$1:O279),0)+$E280,"drip",IFERROR(LOOKUP(2,1/($B$1:B279=B280),$O$1:O279),0)+$E280,"sell",IFERROR(LOOKUP(2,1/($B$1:B279=B280),$O$1:O279),0)-$E280,"return_of_capital",IFERROR(LOOKUP(2,1/($B$1:B279=B280),$O$1:O279),0),"split",$E280,IFERROR(LOOKUP(2,1/($B$1:B279=B280),$O$1:O279),0)))</x:f>
      </x:c>
      <x:c r="P280" t="str">
        <x:f>IF(COUNTA($A280:$D280)=0,"",SWITCH(LOWER($D280),"buy",IFERROR(LOOKUP(2,1/($B$1:B279=B280),$P$1:P279),0)+$M280+$N280,"drip",IFERROR(LOOKUP(2,1/($B$1:B279=B280),$P$1:P279),0)+$M280+$N280,"sell",IFERROR(LOOKUP(2,1/($B$1:B279=B280),$P$1:P279),0)-IFERROR(IFERROR(LOOKUP(2,1/($B$1:B279=B280),$P$1:P279),0)/IFERROR(LOOKUP(2,1/($B$1:B279=B280),$O$1:O279),0)*$E280,0),"return_of_capital",IFERROR(LOOKUP(2,1/($B$1:B279=B280),$P$1:P279),0)-ABS($M280),"split",IFERROR(LOOKUP(2,1/($B$1:B279=B280),$P$1:P279),0),IFERROR(LOOKUP(2,1/($B$1:B279=B280),$P$1:P279),0)))</x:f>
      </x:c>
      <x:c r="Q280" t="str">
        <x:f>IFERROR($P280/$O280,"")</x:f>
      </x:c>
      <x:c r="R280" t="str">
        <x:f>IF(LOWER($D280)="sell",$M280-$N280-IFERROR(IFERROR(LOOKUP(2,1/($B$1:B279=B280),$P$1:P279),0)/IFERROR(LOOKUP(2,1/($B$1:B279=B280),$O$1:O279),0)*$E280,0),"")</x:f>
      </x:c>
      <x:c r="S280" t="str">
        <x:f>IF(COUNTA($A280:$D280)=0,"",IF($B280="","Missing symbol",IF($D280="","Missing action",IF(AND(LOWER($D280)="sell",$E280&gt;IFERROR(LOOKUP(2,1/($B$1:B279=B280),$O$1:O279),0)),"Sold more units than available","OK"))))</x:f>
      </x:c>
    </x:row>
    <x:row r="281">
      <x:c r="M281" t="str">
        <x:f>IF(COUNTA($A281:$D281)=0,"",IF($G281&lt;&gt;"",$G281,IF(AND($E281&lt;&gt;"",$F281&lt;&gt;""),$E281*$F281,""))*IF($J281&lt;&gt;"",$J281,1))</x:f>
      </x:c>
      <x:c r="N281" t="str">
        <x:f>IF(COUNTA($A281:$D281)=0,"",IF($H281&lt;&gt;"",$H281,0)*IF($J281&lt;&gt;"",$J281,1))</x:f>
      </x:c>
      <x:c r="O281" t="str">
        <x:f>IF(COUNTA($A281:$D281)=0,"",SWITCH(LOWER($D281),"buy",IFERROR(LOOKUP(2,1/($B$1:B280=B281),$O$1:O280),0)+$E281,"drip",IFERROR(LOOKUP(2,1/($B$1:B280=B281),$O$1:O280),0)+$E281,"sell",IFERROR(LOOKUP(2,1/($B$1:B280=B281),$O$1:O280),0)-$E281,"return_of_capital",IFERROR(LOOKUP(2,1/($B$1:B280=B281),$O$1:O280),0),"split",$E281,IFERROR(LOOKUP(2,1/($B$1:B280=B281),$O$1:O280),0)))</x:f>
      </x:c>
      <x:c r="P281" t="str">
        <x:f>IF(COUNTA($A281:$D281)=0,"",SWITCH(LOWER($D281),"buy",IFERROR(LOOKUP(2,1/($B$1:B280=B281),$P$1:P280),0)+$M281+$N281,"drip",IFERROR(LOOKUP(2,1/($B$1:B280=B281),$P$1:P280),0)+$M281+$N281,"sell",IFERROR(LOOKUP(2,1/($B$1:B280=B281),$P$1:P280),0)-IFERROR(IFERROR(LOOKUP(2,1/($B$1:B280=B281),$P$1:P280),0)/IFERROR(LOOKUP(2,1/($B$1:B280=B281),$O$1:O280),0)*$E281,0),"return_of_capital",IFERROR(LOOKUP(2,1/($B$1:B280=B281),$P$1:P280),0)-ABS($M281),"split",IFERROR(LOOKUP(2,1/($B$1:B280=B281),$P$1:P280),0),IFERROR(LOOKUP(2,1/($B$1:B280=B281),$P$1:P280),0)))</x:f>
      </x:c>
      <x:c r="Q281" t="str">
        <x:f>IFERROR($P281/$O281,"")</x:f>
      </x:c>
      <x:c r="R281" t="str">
        <x:f>IF(LOWER($D281)="sell",$M281-$N281-IFERROR(IFERROR(LOOKUP(2,1/($B$1:B280=B281),$P$1:P280),0)/IFERROR(LOOKUP(2,1/($B$1:B280=B281),$O$1:O280),0)*$E281,0),"")</x:f>
      </x:c>
      <x:c r="S281" t="str">
        <x:f>IF(COUNTA($A281:$D281)=0,"",IF($B281="","Missing symbol",IF($D281="","Missing action",IF(AND(LOWER($D281)="sell",$E281&gt;IFERROR(LOOKUP(2,1/($B$1:B280=B281),$O$1:O280),0)),"Sold more units than available","OK"))))</x:f>
      </x:c>
    </x:row>
    <x:row r="282">
      <x:c r="M282" t="str">
        <x:f>IF(COUNTA($A282:$D282)=0,"",IF($G282&lt;&gt;"",$G282,IF(AND($E282&lt;&gt;"",$F282&lt;&gt;""),$E282*$F282,""))*IF($J282&lt;&gt;"",$J282,1))</x:f>
      </x:c>
      <x:c r="N282" t="str">
        <x:f>IF(COUNTA($A282:$D282)=0,"",IF($H282&lt;&gt;"",$H282,0)*IF($J282&lt;&gt;"",$J282,1))</x:f>
      </x:c>
      <x:c r="O282" t="str">
        <x:f>IF(COUNTA($A282:$D282)=0,"",SWITCH(LOWER($D282),"buy",IFERROR(LOOKUP(2,1/($B$1:B281=B282),$O$1:O281),0)+$E282,"drip",IFERROR(LOOKUP(2,1/($B$1:B281=B282),$O$1:O281),0)+$E282,"sell",IFERROR(LOOKUP(2,1/($B$1:B281=B282),$O$1:O281),0)-$E282,"return_of_capital",IFERROR(LOOKUP(2,1/($B$1:B281=B282),$O$1:O281),0),"split",$E282,IFERROR(LOOKUP(2,1/($B$1:B281=B282),$O$1:O281),0)))</x:f>
      </x:c>
      <x:c r="P282" t="str">
        <x:f>IF(COUNTA($A282:$D282)=0,"",SWITCH(LOWER($D282),"buy",IFERROR(LOOKUP(2,1/($B$1:B281=B282),$P$1:P281),0)+$M282+$N282,"drip",IFERROR(LOOKUP(2,1/($B$1:B281=B282),$P$1:P281),0)+$M282+$N282,"sell",IFERROR(LOOKUP(2,1/($B$1:B281=B282),$P$1:P281),0)-IFERROR(IFERROR(LOOKUP(2,1/($B$1:B281=B282),$P$1:P281),0)/IFERROR(LOOKUP(2,1/($B$1:B281=B282),$O$1:O281),0)*$E282,0),"return_of_capital",IFERROR(LOOKUP(2,1/($B$1:B281=B282),$P$1:P281),0)-ABS($M282),"split",IFERROR(LOOKUP(2,1/($B$1:B281=B282),$P$1:P281),0),IFERROR(LOOKUP(2,1/($B$1:B281=B282),$P$1:P281),0)))</x:f>
      </x:c>
      <x:c r="Q282" t="str">
        <x:f>IFERROR($P282/$O282,"")</x:f>
      </x:c>
      <x:c r="R282" t="str">
        <x:f>IF(LOWER($D282)="sell",$M282-$N282-IFERROR(IFERROR(LOOKUP(2,1/($B$1:B281=B282),$P$1:P281),0)/IFERROR(LOOKUP(2,1/($B$1:B281=B282),$O$1:O281),0)*$E282,0),"")</x:f>
      </x:c>
      <x:c r="S282" t="str">
        <x:f>IF(COUNTA($A282:$D282)=0,"",IF($B282="","Missing symbol",IF($D282="","Missing action",IF(AND(LOWER($D282)="sell",$E282&gt;IFERROR(LOOKUP(2,1/($B$1:B281=B282),$O$1:O281),0)),"Sold more units than available","OK"))))</x:f>
      </x:c>
    </x:row>
    <x:row r="283">
      <x:c r="M283" t="str">
        <x:f>IF(COUNTA($A283:$D283)=0,"",IF($G283&lt;&gt;"",$G283,IF(AND($E283&lt;&gt;"",$F283&lt;&gt;""),$E283*$F283,""))*IF($J283&lt;&gt;"",$J283,1))</x:f>
      </x:c>
      <x:c r="N283" t="str">
        <x:f>IF(COUNTA($A283:$D283)=0,"",IF($H283&lt;&gt;"",$H283,0)*IF($J283&lt;&gt;"",$J283,1))</x:f>
      </x:c>
      <x:c r="O283" t="str">
        <x:f>IF(COUNTA($A283:$D283)=0,"",SWITCH(LOWER($D283),"buy",IFERROR(LOOKUP(2,1/($B$1:B282=B283),$O$1:O282),0)+$E283,"drip",IFERROR(LOOKUP(2,1/($B$1:B282=B283),$O$1:O282),0)+$E283,"sell",IFERROR(LOOKUP(2,1/($B$1:B282=B283),$O$1:O282),0)-$E283,"return_of_capital",IFERROR(LOOKUP(2,1/($B$1:B282=B283),$O$1:O282),0),"split",$E283,IFERROR(LOOKUP(2,1/($B$1:B282=B283),$O$1:O282),0)))</x:f>
      </x:c>
      <x:c r="P283" t="str">
        <x:f>IF(COUNTA($A283:$D283)=0,"",SWITCH(LOWER($D283),"buy",IFERROR(LOOKUP(2,1/($B$1:B282=B283),$P$1:P282),0)+$M283+$N283,"drip",IFERROR(LOOKUP(2,1/($B$1:B282=B283),$P$1:P282),0)+$M283+$N283,"sell",IFERROR(LOOKUP(2,1/($B$1:B282=B283),$P$1:P282),0)-IFERROR(IFERROR(LOOKUP(2,1/($B$1:B282=B283),$P$1:P282),0)/IFERROR(LOOKUP(2,1/($B$1:B282=B283),$O$1:O282),0)*$E283,0),"return_of_capital",IFERROR(LOOKUP(2,1/($B$1:B282=B283),$P$1:P282),0)-ABS($M283),"split",IFERROR(LOOKUP(2,1/($B$1:B282=B283),$P$1:P282),0),IFERROR(LOOKUP(2,1/($B$1:B282=B283),$P$1:P282),0)))</x:f>
      </x:c>
      <x:c r="Q283" t="str">
        <x:f>IFERROR($P283/$O283,"")</x:f>
      </x:c>
      <x:c r="R283" t="str">
        <x:f>IF(LOWER($D283)="sell",$M283-$N283-IFERROR(IFERROR(LOOKUP(2,1/($B$1:B282=B283),$P$1:P282),0)/IFERROR(LOOKUP(2,1/($B$1:B282=B283),$O$1:O282),0)*$E283,0),"")</x:f>
      </x:c>
      <x:c r="S283" t="str">
        <x:f>IF(COUNTA($A283:$D283)=0,"",IF($B283="","Missing symbol",IF($D283="","Missing action",IF(AND(LOWER($D283)="sell",$E283&gt;IFERROR(LOOKUP(2,1/($B$1:B282=B283),$O$1:O282),0)),"Sold more units than available","OK"))))</x:f>
      </x:c>
    </x:row>
    <x:row r="284">
      <x:c r="M284" t="str">
        <x:f>IF(COUNTA($A284:$D284)=0,"",IF($G284&lt;&gt;"",$G284,IF(AND($E284&lt;&gt;"",$F284&lt;&gt;""),$E284*$F284,""))*IF($J284&lt;&gt;"",$J284,1))</x:f>
      </x:c>
      <x:c r="N284" t="str">
        <x:f>IF(COUNTA($A284:$D284)=0,"",IF($H284&lt;&gt;"",$H284,0)*IF($J284&lt;&gt;"",$J284,1))</x:f>
      </x:c>
      <x:c r="O284" t="str">
        <x:f>IF(COUNTA($A284:$D284)=0,"",SWITCH(LOWER($D284),"buy",IFERROR(LOOKUP(2,1/($B$1:B283=B284),$O$1:O283),0)+$E284,"drip",IFERROR(LOOKUP(2,1/($B$1:B283=B284),$O$1:O283),0)+$E284,"sell",IFERROR(LOOKUP(2,1/($B$1:B283=B284),$O$1:O283),0)-$E284,"return_of_capital",IFERROR(LOOKUP(2,1/($B$1:B283=B284),$O$1:O283),0),"split",$E284,IFERROR(LOOKUP(2,1/($B$1:B283=B284),$O$1:O283),0)))</x:f>
      </x:c>
      <x:c r="P284" t="str">
        <x:f>IF(COUNTA($A284:$D284)=0,"",SWITCH(LOWER($D284),"buy",IFERROR(LOOKUP(2,1/($B$1:B283=B284),$P$1:P283),0)+$M284+$N284,"drip",IFERROR(LOOKUP(2,1/($B$1:B283=B284),$P$1:P283),0)+$M284+$N284,"sell",IFERROR(LOOKUP(2,1/($B$1:B283=B284),$P$1:P283),0)-IFERROR(IFERROR(LOOKUP(2,1/($B$1:B283=B284),$P$1:P283),0)/IFERROR(LOOKUP(2,1/($B$1:B283=B284),$O$1:O283),0)*$E284,0),"return_of_capital",IFERROR(LOOKUP(2,1/($B$1:B283=B284),$P$1:P283),0)-ABS($M284),"split",IFERROR(LOOKUP(2,1/($B$1:B283=B284),$P$1:P283),0),IFERROR(LOOKUP(2,1/($B$1:B283=B284),$P$1:P283),0)))</x:f>
      </x:c>
      <x:c r="Q284" t="str">
        <x:f>IFERROR($P284/$O284,"")</x:f>
      </x:c>
      <x:c r="R284" t="str">
        <x:f>IF(LOWER($D284)="sell",$M284-$N284-IFERROR(IFERROR(LOOKUP(2,1/($B$1:B283=B284),$P$1:P283),0)/IFERROR(LOOKUP(2,1/($B$1:B283=B284),$O$1:O283),0)*$E284,0),"")</x:f>
      </x:c>
      <x:c r="S284" t="str">
        <x:f>IF(COUNTA($A284:$D284)=0,"",IF($B284="","Missing symbol",IF($D284="","Missing action",IF(AND(LOWER($D284)="sell",$E284&gt;IFERROR(LOOKUP(2,1/($B$1:B283=B284),$O$1:O283),0)),"Sold more units than available","OK"))))</x:f>
      </x:c>
    </x:row>
    <x:row r="285">
      <x:c r="M285" t="str">
        <x:f>IF(COUNTA($A285:$D285)=0,"",IF($G285&lt;&gt;"",$G285,IF(AND($E285&lt;&gt;"",$F285&lt;&gt;""),$E285*$F285,""))*IF($J285&lt;&gt;"",$J285,1))</x:f>
      </x:c>
      <x:c r="N285" t="str">
        <x:f>IF(COUNTA($A285:$D285)=0,"",IF($H285&lt;&gt;"",$H285,0)*IF($J285&lt;&gt;"",$J285,1))</x:f>
      </x:c>
      <x:c r="O285" t="str">
        <x:f>IF(COUNTA($A285:$D285)=0,"",SWITCH(LOWER($D285),"buy",IFERROR(LOOKUP(2,1/($B$1:B284=B285),$O$1:O284),0)+$E285,"drip",IFERROR(LOOKUP(2,1/($B$1:B284=B285),$O$1:O284),0)+$E285,"sell",IFERROR(LOOKUP(2,1/($B$1:B284=B285),$O$1:O284),0)-$E285,"return_of_capital",IFERROR(LOOKUP(2,1/($B$1:B284=B285),$O$1:O284),0),"split",$E285,IFERROR(LOOKUP(2,1/($B$1:B284=B285),$O$1:O284),0)))</x:f>
      </x:c>
      <x:c r="P285" t="str">
        <x:f>IF(COUNTA($A285:$D285)=0,"",SWITCH(LOWER($D285),"buy",IFERROR(LOOKUP(2,1/($B$1:B284=B285),$P$1:P284),0)+$M285+$N285,"drip",IFERROR(LOOKUP(2,1/($B$1:B284=B285),$P$1:P284),0)+$M285+$N285,"sell",IFERROR(LOOKUP(2,1/($B$1:B284=B285),$P$1:P284),0)-IFERROR(IFERROR(LOOKUP(2,1/($B$1:B284=B285),$P$1:P284),0)/IFERROR(LOOKUP(2,1/($B$1:B284=B285),$O$1:O284),0)*$E285,0),"return_of_capital",IFERROR(LOOKUP(2,1/($B$1:B284=B285),$P$1:P284),0)-ABS($M285),"split",IFERROR(LOOKUP(2,1/($B$1:B284=B285),$P$1:P284),0),IFERROR(LOOKUP(2,1/($B$1:B284=B285),$P$1:P284),0)))</x:f>
      </x:c>
      <x:c r="Q285" t="str">
        <x:f>IFERROR($P285/$O285,"")</x:f>
      </x:c>
      <x:c r="R285" t="str">
        <x:f>IF(LOWER($D285)="sell",$M285-$N285-IFERROR(IFERROR(LOOKUP(2,1/($B$1:B284=B285),$P$1:P284),0)/IFERROR(LOOKUP(2,1/($B$1:B284=B285),$O$1:O284),0)*$E285,0),"")</x:f>
      </x:c>
      <x:c r="S285" t="str">
        <x:f>IF(COUNTA($A285:$D285)=0,"",IF($B285="","Missing symbol",IF($D285="","Missing action",IF(AND(LOWER($D285)="sell",$E285&gt;IFERROR(LOOKUP(2,1/($B$1:B284=B285),$O$1:O284),0)),"Sold more units than available","OK"))))</x:f>
      </x:c>
    </x:row>
    <x:row r="286">
      <x:c r="M286" t="str">
        <x:f>IF(COUNTA($A286:$D286)=0,"",IF($G286&lt;&gt;"",$G286,IF(AND($E286&lt;&gt;"",$F286&lt;&gt;""),$E286*$F286,""))*IF($J286&lt;&gt;"",$J286,1))</x:f>
      </x:c>
      <x:c r="N286" t="str">
        <x:f>IF(COUNTA($A286:$D286)=0,"",IF($H286&lt;&gt;"",$H286,0)*IF($J286&lt;&gt;"",$J286,1))</x:f>
      </x:c>
      <x:c r="O286" t="str">
        <x:f>IF(COUNTA($A286:$D286)=0,"",SWITCH(LOWER($D286),"buy",IFERROR(LOOKUP(2,1/($B$1:B285=B286),$O$1:O285),0)+$E286,"drip",IFERROR(LOOKUP(2,1/($B$1:B285=B286),$O$1:O285),0)+$E286,"sell",IFERROR(LOOKUP(2,1/($B$1:B285=B286),$O$1:O285),0)-$E286,"return_of_capital",IFERROR(LOOKUP(2,1/($B$1:B285=B286),$O$1:O285),0),"split",$E286,IFERROR(LOOKUP(2,1/($B$1:B285=B286),$O$1:O285),0)))</x:f>
      </x:c>
      <x:c r="P286" t="str">
        <x:f>IF(COUNTA($A286:$D286)=0,"",SWITCH(LOWER($D286),"buy",IFERROR(LOOKUP(2,1/($B$1:B285=B286),$P$1:P285),0)+$M286+$N286,"drip",IFERROR(LOOKUP(2,1/($B$1:B285=B286),$P$1:P285),0)+$M286+$N286,"sell",IFERROR(LOOKUP(2,1/($B$1:B285=B286),$P$1:P285),0)-IFERROR(IFERROR(LOOKUP(2,1/($B$1:B285=B286),$P$1:P285),0)/IFERROR(LOOKUP(2,1/($B$1:B285=B286),$O$1:O285),0)*$E286,0),"return_of_capital",IFERROR(LOOKUP(2,1/($B$1:B285=B286),$P$1:P285),0)-ABS($M286),"split",IFERROR(LOOKUP(2,1/($B$1:B285=B286),$P$1:P285),0),IFERROR(LOOKUP(2,1/($B$1:B285=B286),$P$1:P285),0)))</x:f>
      </x:c>
      <x:c r="Q286" t="str">
        <x:f>IFERROR($P286/$O286,"")</x:f>
      </x:c>
      <x:c r="R286" t="str">
        <x:f>IF(LOWER($D286)="sell",$M286-$N286-IFERROR(IFERROR(LOOKUP(2,1/($B$1:B285=B286),$P$1:P285),0)/IFERROR(LOOKUP(2,1/($B$1:B285=B286),$O$1:O285),0)*$E286,0),"")</x:f>
      </x:c>
      <x:c r="S286" t="str">
        <x:f>IF(COUNTA($A286:$D286)=0,"",IF($B286="","Missing symbol",IF($D286="","Missing action",IF(AND(LOWER($D286)="sell",$E286&gt;IFERROR(LOOKUP(2,1/($B$1:B285=B286),$O$1:O285),0)),"Sold more units than available","OK"))))</x:f>
      </x:c>
    </x:row>
    <x:row r="287">
      <x:c r="M287" t="str">
        <x:f>IF(COUNTA($A287:$D287)=0,"",IF($G287&lt;&gt;"",$G287,IF(AND($E287&lt;&gt;"",$F287&lt;&gt;""),$E287*$F287,""))*IF($J287&lt;&gt;"",$J287,1))</x:f>
      </x:c>
      <x:c r="N287" t="str">
        <x:f>IF(COUNTA($A287:$D287)=0,"",IF($H287&lt;&gt;"",$H287,0)*IF($J287&lt;&gt;"",$J287,1))</x:f>
      </x:c>
      <x:c r="O287" t="str">
        <x:f>IF(COUNTA($A287:$D287)=0,"",SWITCH(LOWER($D287),"buy",IFERROR(LOOKUP(2,1/($B$1:B286=B287),$O$1:O286),0)+$E287,"drip",IFERROR(LOOKUP(2,1/($B$1:B286=B287),$O$1:O286),0)+$E287,"sell",IFERROR(LOOKUP(2,1/($B$1:B286=B287),$O$1:O286),0)-$E287,"return_of_capital",IFERROR(LOOKUP(2,1/($B$1:B286=B287),$O$1:O286),0),"split",$E287,IFERROR(LOOKUP(2,1/($B$1:B286=B287),$O$1:O286),0)))</x:f>
      </x:c>
      <x:c r="P287" t="str">
        <x:f>IF(COUNTA($A287:$D287)=0,"",SWITCH(LOWER($D287),"buy",IFERROR(LOOKUP(2,1/($B$1:B286=B287),$P$1:P286),0)+$M287+$N287,"drip",IFERROR(LOOKUP(2,1/($B$1:B286=B287),$P$1:P286),0)+$M287+$N287,"sell",IFERROR(LOOKUP(2,1/($B$1:B286=B287),$P$1:P286),0)-IFERROR(IFERROR(LOOKUP(2,1/($B$1:B286=B287),$P$1:P286),0)/IFERROR(LOOKUP(2,1/($B$1:B286=B287),$O$1:O286),0)*$E287,0),"return_of_capital",IFERROR(LOOKUP(2,1/($B$1:B286=B287),$P$1:P286),0)-ABS($M287),"split",IFERROR(LOOKUP(2,1/($B$1:B286=B287),$P$1:P286),0),IFERROR(LOOKUP(2,1/($B$1:B286=B287),$P$1:P286),0)))</x:f>
      </x:c>
      <x:c r="Q287" t="str">
        <x:f>IFERROR($P287/$O287,"")</x:f>
      </x:c>
      <x:c r="R287" t="str">
        <x:f>IF(LOWER($D287)="sell",$M287-$N287-IFERROR(IFERROR(LOOKUP(2,1/($B$1:B286=B287),$P$1:P286),0)/IFERROR(LOOKUP(2,1/($B$1:B286=B287),$O$1:O286),0)*$E287,0),"")</x:f>
      </x:c>
      <x:c r="S287" t="str">
        <x:f>IF(COUNTA($A287:$D287)=0,"",IF($B287="","Missing symbol",IF($D287="","Missing action",IF(AND(LOWER($D287)="sell",$E287&gt;IFERROR(LOOKUP(2,1/($B$1:B286=B287),$O$1:O286),0)),"Sold more units than available","OK"))))</x:f>
      </x:c>
    </x:row>
    <x:row r="288">
      <x:c r="M288" t="str">
        <x:f>IF(COUNTA($A288:$D288)=0,"",IF($G288&lt;&gt;"",$G288,IF(AND($E288&lt;&gt;"",$F288&lt;&gt;""),$E288*$F288,""))*IF($J288&lt;&gt;"",$J288,1))</x:f>
      </x:c>
      <x:c r="N288" t="str">
        <x:f>IF(COUNTA($A288:$D288)=0,"",IF($H288&lt;&gt;"",$H288,0)*IF($J288&lt;&gt;"",$J288,1))</x:f>
      </x:c>
      <x:c r="O288" t="str">
        <x:f>IF(COUNTA($A288:$D288)=0,"",SWITCH(LOWER($D288),"buy",IFERROR(LOOKUP(2,1/($B$1:B287=B288),$O$1:O287),0)+$E288,"drip",IFERROR(LOOKUP(2,1/($B$1:B287=B288),$O$1:O287),0)+$E288,"sell",IFERROR(LOOKUP(2,1/($B$1:B287=B288),$O$1:O287),0)-$E288,"return_of_capital",IFERROR(LOOKUP(2,1/($B$1:B287=B288),$O$1:O287),0),"split",$E288,IFERROR(LOOKUP(2,1/($B$1:B287=B288),$O$1:O287),0)))</x:f>
      </x:c>
      <x:c r="P288" t="str">
        <x:f>IF(COUNTA($A288:$D288)=0,"",SWITCH(LOWER($D288),"buy",IFERROR(LOOKUP(2,1/($B$1:B287=B288),$P$1:P287),0)+$M288+$N288,"drip",IFERROR(LOOKUP(2,1/($B$1:B287=B288),$P$1:P287),0)+$M288+$N288,"sell",IFERROR(LOOKUP(2,1/($B$1:B287=B288),$P$1:P287),0)-IFERROR(IFERROR(LOOKUP(2,1/($B$1:B287=B288),$P$1:P287),0)/IFERROR(LOOKUP(2,1/($B$1:B287=B288),$O$1:O287),0)*$E288,0),"return_of_capital",IFERROR(LOOKUP(2,1/($B$1:B287=B288),$P$1:P287),0)-ABS($M288),"split",IFERROR(LOOKUP(2,1/($B$1:B287=B288),$P$1:P287),0),IFERROR(LOOKUP(2,1/($B$1:B287=B288),$P$1:P287),0)))</x:f>
      </x:c>
      <x:c r="Q288" t="str">
        <x:f>IFERROR($P288/$O288,"")</x:f>
      </x:c>
      <x:c r="R288" t="str">
        <x:f>IF(LOWER($D288)="sell",$M288-$N288-IFERROR(IFERROR(LOOKUP(2,1/($B$1:B287=B288),$P$1:P287),0)/IFERROR(LOOKUP(2,1/($B$1:B287=B288),$O$1:O287),0)*$E288,0),"")</x:f>
      </x:c>
      <x:c r="S288" t="str">
        <x:f>IF(COUNTA($A288:$D288)=0,"",IF($B288="","Missing symbol",IF($D288="","Missing action",IF(AND(LOWER($D288)="sell",$E288&gt;IFERROR(LOOKUP(2,1/($B$1:B287=B288),$O$1:O287),0)),"Sold more units than available","OK"))))</x:f>
      </x:c>
    </x:row>
    <x:row r="289">
      <x:c r="M289" t="str">
        <x:f>IF(COUNTA($A289:$D289)=0,"",IF($G289&lt;&gt;"",$G289,IF(AND($E289&lt;&gt;"",$F289&lt;&gt;""),$E289*$F289,""))*IF($J289&lt;&gt;"",$J289,1))</x:f>
      </x:c>
      <x:c r="N289" t="str">
        <x:f>IF(COUNTA($A289:$D289)=0,"",IF($H289&lt;&gt;"",$H289,0)*IF($J289&lt;&gt;"",$J289,1))</x:f>
      </x:c>
      <x:c r="O289" t="str">
        <x:f>IF(COUNTA($A289:$D289)=0,"",SWITCH(LOWER($D289),"buy",IFERROR(LOOKUP(2,1/($B$1:B288=B289),$O$1:O288),0)+$E289,"drip",IFERROR(LOOKUP(2,1/($B$1:B288=B289),$O$1:O288),0)+$E289,"sell",IFERROR(LOOKUP(2,1/($B$1:B288=B289),$O$1:O288),0)-$E289,"return_of_capital",IFERROR(LOOKUP(2,1/($B$1:B288=B289),$O$1:O288),0),"split",$E289,IFERROR(LOOKUP(2,1/($B$1:B288=B289),$O$1:O288),0)))</x:f>
      </x:c>
      <x:c r="P289" t="str">
        <x:f>IF(COUNTA($A289:$D289)=0,"",SWITCH(LOWER($D289),"buy",IFERROR(LOOKUP(2,1/($B$1:B288=B289),$P$1:P288),0)+$M289+$N289,"drip",IFERROR(LOOKUP(2,1/($B$1:B288=B289),$P$1:P288),0)+$M289+$N289,"sell",IFERROR(LOOKUP(2,1/($B$1:B288=B289),$P$1:P288),0)-IFERROR(IFERROR(LOOKUP(2,1/($B$1:B288=B289),$P$1:P288),0)/IFERROR(LOOKUP(2,1/($B$1:B288=B289),$O$1:O288),0)*$E289,0),"return_of_capital",IFERROR(LOOKUP(2,1/($B$1:B288=B289),$P$1:P288),0)-ABS($M289),"split",IFERROR(LOOKUP(2,1/($B$1:B288=B289),$P$1:P288),0),IFERROR(LOOKUP(2,1/($B$1:B288=B289),$P$1:P288),0)))</x:f>
      </x:c>
      <x:c r="Q289" t="str">
        <x:f>IFERROR($P289/$O289,"")</x:f>
      </x:c>
      <x:c r="R289" t="str">
        <x:f>IF(LOWER($D289)="sell",$M289-$N289-IFERROR(IFERROR(LOOKUP(2,1/($B$1:B288=B289),$P$1:P288),0)/IFERROR(LOOKUP(2,1/($B$1:B288=B289),$O$1:O288),0)*$E289,0),"")</x:f>
      </x:c>
      <x:c r="S289" t="str">
        <x:f>IF(COUNTA($A289:$D289)=0,"",IF($B289="","Missing symbol",IF($D289="","Missing action",IF(AND(LOWER($D289)="sell",$E289&gt;IFERROR(LOOKUP(2,1/($B$1:B288=B289),$O$1:O288),0)),"Sold more units than available","OK"))))</x:f>
      </x:c>
    </x:row>
    <x:row r="290">
      <x:c r="M290" t="str">
        <x:f>IF(COUNTA($A290:$D290)=0,"",IF($G290&lt;&gt;"",$G290,IF(AND($E290&lt;&gt;"",$F290&lt;&gt;""),$E290*$F290,""))*IF($J290&lt;&gt;"",$J290,1))</x:f>
      </x:c>
      <x:c r="N290" t="str">
        <x:f>IF(COUNTA($A290:$D290)=0,"",IF($H290&lt;&gt;"",$H290,0)*IF($J290&lt;&gt;"",$J290,1))</x:f>
      </x:c>
      <x:c r="O290" t="str">
        <x:f>IF(COUNTA($A290:$D290)=0,"",SWITCH(LOWER($D290),"buy",IFERROR(LOOKUP(2,1/($B$1:B289=B290),$O$1:O289),0)+$E290,"drip",IFERROR(LOOKUP(2,1/($B$1:B289=B290),$O$1:O289),0)+$E290,"sell",IFERROR(LOOKUP(2,1/($B$1:B289=B290),$O$1:O289),0)-$E290,"return_of_capital",IFERROR(LOOKUP(2,1/($B$1:B289=B290),$O$1:O289),0),"split",$E290,IFERROR(LOOKUP(2,1/($B$1:B289=B290),$O$1:O289),0)))</x:f>
      </x:c>
      <x:c r="P290" t="str">
        <x:f>IF(COUNTA($A290:$D290)=0,"",SWITCH(LOWER($D290),"buy",IFERROR(LOOKUP(2,1/($B$1:B289=B290),$P$1:P289),0)+$M290+$N290,"drip",IFERROR(LOOKUP(2,1/($B$1:B289=B290),$P$1:P289),0)+$M290+$N290,"sell",IFERROR(LOOKUP(2,1/($B$1:B289=B290),$P$1:P289),0)-IFERROR(IFERROR(LOOKUP(2,1/($B$1:B289=B290),$P$1:P289),0)/IFERROR(LOOKUP(2,1/($B$1:B289=B290),$O$1:O289),0)*$E290,0),"return_of_capital",IFERROR(LOOKUP(2,1/($B$1:B289=B290),$P$1:P289),0)-ABS($M290),"split",IFERROR(LOOKUP(2,1/($B$1:B289=B290),$P$1:P289),0),IFERROR(LOOKUP(2,1/($B$1:B289=B290),$P$1:P289),0)))</x:f>
      </x:c>
      <x:c r="Q290" t="str">
        <x:f>IFERROR($P290/$O290,"")</x:f>
      </x:c>
      <x:c r="R290" t="str">
        <x:f>IF(LOWER($D290)="sell",$M290-$N290-IFERROR(IFERROR(LOOKUP(2,1/($B$1:B289=B290),$P$1:P289),0)/IFERROR(LOOKUP(2,1/($B$1:B289=B290),$O$1:O289),0)*$E290,0),"")</x:f>
      </x:c>
      <x:c r="S290" t="str">
        <x:f>IF(COUNTA($A290:$D290)=0,"",IF($B290="","Missing symbol",IF($D290="","Missing action",IF(AND(LOWER($D290)="sell",$E290&gt;IFERROR(LOOKUP(2,1/($B$1:B289=B290),$O$1:O289),0)),"Sold more units than available","OK"))))</x:f>
      </x:c>
    </x:row>
    <x:row r="291">
      <x:c r="M291" t="str">
        <x:f>IF(COUNTA($A291:$D291)=0,"",IF($G291&lt;&gt;"",$G291,IF(AND($E291&lt;&gt;"",$F291&lt;&gt;""),$E291*$F291,""))*IF($J291&lt;&gt;"",$J291,1))</x:f>
      </x:c>
      <x:c r="N291" t="str">
        <x:f>IF(COUNTA($A291:$D291)=0,"",IF($H291&lt;&gt;"",$H291,0)*IF($J291&lt;&gt;"",$J291,1))</x:f>
      </x:c>
      <x:c r="O291" t="str">
        <x:f>IF(COUNTA($A291:$D291)=0,"",SWITCH(LOWER($D291),"buy",IFERROR(LOOKUP(2,1/($B$1:B290=B291),$O$1:O290),0)+$E291,"drip",IFERROR(LOOKUP(2,1/($B$1:B290=B291),$O$1:O290),0)+$E291,"sell",IFERROR(LOOKUP(2,1/($B$1:B290=B291),$O$1:O290),0)-$E291,"return_of_capital",IFERROR(LOOKUP(2,1/($B$1:B290=B291),$O$1:O290),0),"split",$E291,IFERROR(LOOKUP(2,1/($B$1:B290=B291),$O$1:O290),0)))</x:f>
      </x:c>
      <x:c r="P291" t="str">
        <x:f>IF(COUNTA($A291:$D291)=0,"",SWITCH(LOWER($D291),"buy",IFERROR(LOOKUP(2,1/($B$1:B290=B291),$P$1:P290),0)+$M291+$N291,"drip",IFERROR(LOOKUP(2,1/($B$1:B290=B291),$P$1:P290),0)+$M291+$N291,"sell",IFERROR(LOOKUP(2,1/($B$1:B290=B291),$P$1:P290),0)-IFERROR(IFERROR(LOOKUP(2,1/($B$1:B290=B291),$P$1:P290),0)/IFERROR(LOOKUP(2,1/($B$1:B290=B291),$O$1:O290),0)*$E291,0),"return_of_capital",IFERROR(LOOKUP(2,1/($B$1:B290=B291),$P$1:P290),0)-ABS($M291),"split",IFERROR(LOOKUP(2,1/($B$1:B290=B291),$P$1:P290),0),IFERROR(LOOKUP(2,1/($B$1:B290=B291),$P$1:P290),0)))</x:f>
      </x:c>
      <x:c r="Q291" t="str">
        <x:f>IFERROR($P291/$O291,"")</x:f>
      </x:c>
      <x:c r="R291" t="str">
        <x:f>IF(LOWER($D291)="sell",$M291-$N291-IFERROR(IFERROR(LOOKUP(2,1/($B$1:B290=B291),$P$1:P290),0)/IFERROR(LOOKUP(2,1/($B$1:B290=B291),$O$1:O290),0)*$E291,0),"")</x:f>
      </x:c>
      <x:c r="S291" t="str">
        <x:f>IF(COUNTA($A291:$D291)=0,"",IF($B291="","Missing symbol",IF($D291="","Missing action",IF(AND(LOWER($D291)="sell",$E291&gt;IFERROR(LOOKUP(2,1/($B$1:B290=B291),$O$1:O290),0)),"Sold more units than available","OK"))))</x:f>
      </x:c>
    </x:row>
    <x:row r="292">
      <x:c r="M292" t="str">
        <x:f>IF(COUNTA($A292:$D292)=0,"",IF($G292&lt;&gt;"",$G292,IF(AND($E292&lt;&gt;"",$F292&lt;&gt;""),$E292*$F292,""))*IF($J292&lt;&gt;"",$J292,1))</x:f>
      </x:c>
      <x:c r="N292" t="str">
        <x:f>IF(COUNTA($A292:$D292)=0,"",IF($H292&lt;&gt;"",$H292,0)*IF($J292&lt;&gt;"",$J292,1))</x:f>
      </x:c>
      <x:c r="O292" t="str">
        <x:f>IF(COUNTA($A292:$D292)=0,"",SWITCH(LOWER($D292),"buy",IFERROR(LOOKUP(2,1/($B$1:B291=B292),$O$1:O291),0)+$E292,"drip",IFERROR(LOOKUP(2,1/($B$1:B291=B292),$O$1:O291),0)+$E292,"sell",IFERROR(LOOKUP(2,1/($B$1:B291=B292),$O$1:O291),0)-$E292,"return_of_capital",IFERROR(LOOKUP(2,1/($B$1:B291=B292),$O$1:O291),0),"split",$E292,IFERROR(LOOKUP(2,1/($B$1:B291=B292),$O$1:O291),0)))</x:f>
      </x:c>
      <x:c r="P292" t="str">
        <x:f>IF(COUNTA($A292:$D292)=0,"",SWITCH(LOWER($D292),"buy",IFERROR(LOOKUP(2,1/($B$1:B291=B292),$P$1:P291),0)+$M292+$N292,"drip",IFERROR(LOOKUP(2,1/($B$1:B291=B292),$P$1:P291),0)+$M292+$N292,"sell",IFERROR(LOOKUP(2,1/($B$1:B291=B292),$P$1:P291),0)-IFERROR(IFERROR(LOOKUP(2,1/($B$1:B291=B292),$P$1:P291),0)/IFERROR(LOOKUP(2,1/($B$1:B291=B292),$O$1:O291),0)*$E292,0),"return_of_capital",IFERROR(LOOKUP(2,1/($B$1:B291=B292),$P$1:P291),0)-ABS($M292),"split",IFERROR(LOOKUP(2,1/($B$1:B291=B292),$P$1:P291),0),IFERROR(LOOKUP(2,1/($B$1:B291=B292),$P$1:P291),0)))</x:f>
      </x:c>
      <x:c r="Q292" t="str">
        <x:f>IFERROR($P292/$O292,"")</x:f>
      </x:c>
      <x:c r="R292" t="str">
        <x:f>IF(LOWER($D292)="sell",$M292-$N292-IFERROR(IFERROR(LOOKUP(2,1/($B$1:B291=B292),$P$1:P291),0)/IFERROR(LOOKUP(2,1/($B$1:B291=B292),$O$1:O291),0)*$E292,0),"")</x:f>
      </x:c>
      <x:c r="S292" t="str">
        <x:f>IF(COUNTA($A292:$D292)=0,"",IF($B292="","Missing symbol",IF($D292="","Missing action",IF(AND(LOWER($D292)="sell",$E292&gt;IFERROR(LOOKUP(2,1/($B$1:B291=B292),$O$1:O291),0)),"Sold more units than available","OK"))))</x:f>
      </x:c>
    </x:row>
    <x:row r="293">
      <x:c r="M293" t="str">
        <x:f>IF(COUNTA($A293:$D293)=0,"",IF($G293&lt;&gt;"",$G293,IF(AND($E293&lt;&gt;"",$F293&lt;&gt;""),$E293*$F293,""))*IF($J293&lt;&gt;"",$J293,1))</x:f>
      </x:c>
      <x:c r="N293" t="str">
        <x:f>IF(COUNTA($A293:$D293)=0,"",IF($H293&lt;&gt;"",$H293,0)*IF($J293&lt;&gt;"",$J293,1))</x:f>
      </x:c>
      <x:c r="O293" t="str">
        <x:f>IF(COUNTA($A293:$D293)=0,"",SWITCH(LOWER($D293),"buy",IFERROR(LOOKUP(2,1/($B$1:B292=B293),$O$1:O292),0)+$E293,"drip",IFERROR(LOOKUP(2,1/($B$1:B292=B293),$O$1:O292),0)+$E293,"sell",IFERROR(LOOKUP(2,1/($B$1:B292=B293),$O$1:O292),0)-$E293,"return_of_capital",IFERROR(LOOKUP(2,1/($B$1:B292=B293),$O$1:O292),0),"split",$E293,IFERROR(LOOKUP(2,1/($B$1:B292=B293),$O$1:O292),0)))</x:f>
      </x:c>
      <x:c r="P293" t="str">
        <x:f>IF(COUNTA($A293:$D293)=0,"",SWITCH(LOWER($D293),"buy",IFERROR(LOOKUP(2,1/($B$1:B292=B293),$P$1:P292),0)+$M293+$N293,"drip",IFERROR(LOOKUP(2,1/($B$1:B292=B293),$P$1:P292),0)+$M293+$N293,"sell",IFERROR(LOOKUP(2,1/($B$1:B292=B293),$P$1:P292),0)-IFERROR(IFERROR(LOOKUP(2,1/($B$1:B292=B293),$P$1:P292),0)/IFERROR(LOOKUP(2,1/($B$1:B292=B293),$O$1:O292),0)*$E293,0),"return_of_capital",IFERROR(LOOKUP(2,1/($B$1:B292=B293),$P$1:P292),0)-ABS($M293),"split",IFERROR(LOOKUP(2,1/($B$1:B292=B293),$P$1:P292),0),IFERROR(LOOKUP(2,1/($B$1:B292=B293),$P$1:P292),0)))</x:f>
      </x:c>
      <x:c r="Q293" t="str">
        <x:f>IFERROR($P293/$O293,"")</x:f>
      </x:c>
      <x:c r="R293" t="str">
        <x:f>IF(LOWER($D293)="sell",$M293-$N293-IFERROR(IFERROR(LOOKUP(2,1/($B$1:B292=B293),$P$1:P292),0)/IFERROR(LOOKUP(2,1/($B$1:B292=B293),$O$1:O292),0)*$E293,0),"")</x:f>
      </x:c>
      <x:c r="S293" t="str">
        <x:f>IF(COUNTA($A293:$D293)=0,"",IF($B293="","Missing symbol",IF($D293="","Missing action",IF(AND(LOWER($D293)="sell",$E293&gt;IFERROR(LOOKUP(2,1/($B$1:B292=B293),$O$1:O292),0)),"Sold more units than available","OK"))))</x:f>
      </x:c>
    </x:row>
    <x:row r="294">
      <x:c r="M294" t="str">
        <x:f>IF(COUNTA($A294:$D294)=0,"",IF($G294&lt;&gt;"",$G294,IF(AND($E294&lt;&gt;"",$F294&lt;&gt;""),$E294*$F294,""))*IF($J294&lt;&gt;"",$J294,1))</x:f>
      </x:c>
      <x:c r="N294" t="str">
        <x:f>IF(COUNTA($A294:$D294)=0,"",IF($H294&lt;&gt;"",$H294,0)*IF($J294&lt;&gt;"",$J294,1))</x:f>
      </x:c>
      <x:c r="O294" t="str">
        <x:f>IF(COUNTA($A294:$D294)=0,"",SWITCH(LOWER($D294),"buy",IFERROR(LOOKUP(2,1/($B$1:B293=B294),$O$1:O293),0)+$E294,"drip",IFERROR(LOOKUP(2,1/($B$1:B293=B294),$O$1:O293),0)+$E294,"sell",IFERROR(LOOKUP(2,1/($B$1:B293=B294),$O$1:O293),0)-$E294,"return_of_capital",IFERROR(LOOKUP(2,1/($B$1:B293=B294),$O$1:O293),0),"split",$E294,IFERROR(LOOKUP(2,1/($B$1:B293=B294),$O$1:O293),0)))</x:f>
      </x:c>
      <x:c r="P294" t="str">
        <x:f>IF(COUNTA($A294:$D294)=0,"",SWITCH(LOWER($D294),"buy",IFERROR(LOOKUP(2,1/($B$1:B293=B294),$P$1:P293),0)+$M294+$N294,"drip",IFERROR(LOOKUP(2,1/($B$1:B293=B294),$P$1:P293),0)+$M294+$N294,"sell",IFERROR(LOOKUP(2,1/($B$1:B293=B294),$P$1:P293),0)-IFERROR(IFERROR(LOOKUP(2,1/($B$1:B293=B294),$P$1:P293),0)/IFERROR(LOOKUP(2,1/($B$1:B293=B294),$O$1:O293),0)*$E294,0),"return_of_capital",IFERROR(LOOKUP(2,1/($B$1:B293=B294),$P$1:P293),0)-ABS($M294),"split",IFERROR(LOOKUP(2,1/($B$1:B293=B294),$P$1:P293),0),IFERROR(LOOKUP(2,1/($B$1:B293=B294),$P$1:P293),0)))</x:f>
      </x:c>
      <x:c r="Q294" t="str">
        <x:f>IFERROR($P294/$O294,"")</x:f>
      </x:c>
      <x:c r="R294" t="str">
        <x:f>IF(LOWER($D294)="sell",$M294-$N294-IFERROR(IFERROR(LOOKUP(2,1/($B$1:B293=B294),$P$1:P293),0)/IFERROR(LOOKUP(2,1/($B$1:B293=B294),$O$1:O293),0)*$E294,0),"")</x:f>
      </x:c>
      <x:c r="S294" t="str">
        <x:f>IF(COUNTA($A294:$D294)=0,"",IF($B294="","Missing symbol",IF($D294="","Missing action",IF(AND(LOWER($D294)="sell",$E294&gt;IFERROR(LOOKUP(2,1/($B$1:B293=B294),$O$1:O293),0)),"Sold more units than available","OK"))))</x:f>
      </x:c>
    </x:row>
    <x:row r="295">
      <x:c r="M295" t="str">
        <x:f>IF(COUNTA($A295:$D295)=0,"",IF($G295&lt;&gt;"",$G295,IF(AND($E295&lt;&gt;"",$F295&lt;&gt;""),$E295*$F295,""))*IF($J295&lt;&gt;"",$J295,1))</x:f>
      </x:c>
      <x:c r="N295" t="str">
        <x:f>IF(COUNTA($A295:$D295)=0,"",IF($H295&lt;&gt;"",$H295,0)*IF($J295&lt;&gt;"",$J295,1))</x:f>
      </x:c>
      <x:c r="O295" t="str">
        <x:f>IF(COUNTA($A295:$D295)=0,"",SWITCH(LOWER($D295),"buy",IFERROR(LOOKUP(2,1/($B$1:B294=B295),$O$1:O294),0)+$E295,"drip",IFERROR(LOOKUP(2,1/($B$1:B294=B295),$O$1:O294),0)+$E295,"sell",IFERROR(LOOKUP(2,1/($B$1:B294=B295),$O$1:O294),0)-$E295,"return_of_capital",IFERROR(LOOKUP(2,1/($B$1:B294=B295),$O$1:O294),0),"split",$E295,IFERROR(LOOKUP(2,1/($B$1:B294=B295),$O$1:O294),0)))</x:f>
      </x:c>
      <x:c r="P295" t="str">
        <x:f>IF(COUNTA($A295:$D295)=0,"",SWITCH(LOWER($D295),"buy",IFERROR(LOOKUP(2,1/($B$1:B294=B295),$P$1:P294),0)+$M295+$N295,"drip",IFERROR(LOOKUP(2,1/($B$1:B294=B295),$P$1:P294),0)+$M295+$N295,"sell",IFERROR(LOOKUP(2,1/($B$1:B294=B295),$P$1:P294),0)-IFERROR(IFERROR(LOOKUP(2,1/($B$1:B294=B295),$P$1:P294),0)/IFERROR(LOOKUP(2,1/($B$1:B294=B295),$O$1:O294),0)*$E295,0),"return_of_capital",IFERROR(LOOKUP(2,1/($B$1:B294=B295),$P$1:P294),0)-ABS($M295),"split",IFERROR(LOOKUP(2,1/($B$1:B294=B295),$P$1:P294),0),IFERROR(LOOKUP(2,1/($B$1:B294=B295),$P$1:P294),0)))</x:f>
      </x:c>
      <x:c r="Q295" t="str">
        <x:f>IFERROR($P295/$O295,"")</x:f>
      </x:c>
      <x:c r="R295" t="str">
        <x:f>IF(LOWER($D295)="sell",$M295-$N295-IFERROR(IFERROR(LOOKUP(2,1/($B$1:B294=B295),$P$1:P294),0)/IFERROR(LOOKUP(2,1/($B$1:B294=B295),$O$1:O294),0)*$E295,0),"")</x:f>
      </x:c>
      <x:c r="S295" t="str">
        <x:f>IF(COUNTA($A295:$D295)=0,"",IF($B295="","Missing symbol",IF($D295="","Missing action",IF(AND(LOWER($D295)="sell",$E295&gt;IFERROR(LOOKUP(2,1/($B$1:B294=B295),$O$1:O294),0)),"Sold more units than available","OK"))))</x:f>
      </x:c>
    </x:row>
    <x:row r="296">
      <x:c r="M296" t="str">
        <x:f>IF(COUNTA($A296:$D296)=0,"",IF($G296&lt;&gt;"",$G296,IF(AND($E296&lt;&gt;"",$F296&lt;&gt;""),$E296*$F296,""))*IF($J296&lt;&gt;"",$J296,1))</x:f>
      </x:c>
      <x:c r="N296" t="str">
        <x:f>IF(COUNTA($A296:$D296)=0,"",IF($H296&lt;&gt;"",$H296,0)*IF($J296&lt;&gt;"",$J296,1))</x:f>
      </x:c>
      <x:c r="O296" t="str">
        <x:f>IF(COUNTA($A296:$D296)=0,"",SWITCH(LOWER($D296),"buy",IFERROR(LOOKUP(2,1/($B$1:B295=B296),$O$1:O295),0)+$E296,"drip",IFERROR(LOOKUP(2,1/($B$1:B295=B296),$O$1:O295),0)+$E296,"sell",IFERROR(LOOKUP(2,1/($B$1:B295=B296),$O$1:O295),0)-$E296,"return_of_capital",IFERROR(LOOKUP(2,1/($B$1:B295=B296),$O$1:O295),0),"split",$E296,IFERROR(LOOKUP(2,1/($B$1:B295=B296),$O$1:O295),0)))</x:f>
      </x:c>
      <x:c r="P296" t="str">
        <x:f>IF(COUNTA($A296:$D296)=0,"",SWITCH(LOWER($D296),"buy",IFERROR(LOOKUP(2,1/($B$1:B295=B296),$P$1:P295),0)+$M296+$N296,"drip",IFERROR(LOOKUP(2,1/($B$1:B295=B296),$P$1:P295),0)+$M296+$N296,"sell",IFERROR(LOOKUP(2,1/($B$1:B295=B296),$P$1:P295),0)-IFERROR(IFERROR(LOOKUP(2,1/($B$1:B295=B296),$P$1:P295),0)/IFERROR(LOOKUP(2,1/($B$1:B295=B296),$O$1:O295),0)*$E296,0),"return_of_capital",IFERROR(LOOKUP(2,1/($B$1:B295=B296),$P$1:P295),0)-ABS($M296),"split",IFERROR(LOOKUP(2,1/($B$1:B295=B296),$P$1:P295),0),IFERROR(LOOKUP(2,1/($B$1:B295=B296),$P$1:P295),0)))</x:f>
      </x:c>
      <x:c r="Q296" t="str">
        <x:f>IFERROR($P296/$O296,"")</x:f>
      </x:c>
      <x:c r="R296" t="str">
        <x:f>IF(LOWER($D296)="sell",$M296-$N296-IFERROR(IFERROR(LOOKUP(2,1/($B$1:B295=B296),$P$1:P295),0)/IFERROR(LOOKUP(2,1/($B$1:B295=B296),$O$1:O295),0)*$E296,0),"")</x:f>
      </x:c>
      <x:c r="S296" t="str">
        <x:f>IF(COUNTA($A296:$D296)=0,"",IF($B296="","Missing symbol",IF($D296="","Missing action",IF(AND(LOWER($D296)="sell",$E296&gt;IFERROR(LOOKUP(2,1/($B$1:B295=B296),$O$1:O295),0)),"Sold more units than available","OK"))))</x:f>
      </x:c>
    </x:row>
    <x:row r="297">
      <x:c r="M297" t="str">
        <x:f>IF(COUNTA($A297:$D297)=0,"",IF($G297&lt;&gt;"",$G297,IF(AND($E297&lt;&gt;"",$F297&lt;&gt;""),$E297*$F297,""))*IF($J297&lt;&gt;"",$J297,1))</x:f>
      </x:c>
      <x:c r="N297" t="str">
        <x:f>IF(COUNTA($A297:$D297)=0,"",IF($H297&lt;&gt;"",$H297,0)*IF($J297&lt;&gt;"",$J297,1))</x:f>
      </x:c>
      <x:c r="O297" t="str">
        <x:f>IF(COUNTA($A297:$D297)=0,"",SWITCH(LOWER($D297),"buy",IFERROR(LOOKUP(2,1/($B$1:B296=B297),$O$1:O296),0)+$E297,"drip",IFERROR(LOOKUP(2,1/($B$1:B296=B297),$O$1:O296),0)+$E297,"sell",IFERROR(LOOKUP(2,1/($B$1:B296=B297),$O$1:O296),0)-$E297,"return_of_capital",IFERROR(LOOKUP(2,1/($B$1:B296=B297),$O$1:O296),0),"split",$E297,IFERROR(LOOKUP(2,1/($B$1:B296=B297),$O$1:O296),0)))</x:f>
      </x:c>
      <x:c r="P297" t="str">
        <x:f>IF(COUNTA($A297:$D297)=0,"",SWITCH(LOWER($D297),"buy",IFERROR(LOOKUP(2,1/($B$1:B296=B297),$P$1:P296),0)+$M297+$N297,"drip",IFERROR(LOOKUP(2,1/($B$1:B296=B297),$P$1:P296),0)+$M297+$N297,"sell",IFERROR(LOOKUP(2,1/($B$1:B296=B297),$P$1:P296),0)-IFERROR(IFERROR(LOOKUP(2,1/($B$1:B296=B297),$P$1:P296),0)/IFERROR(LOOKUP(2,1/($B$1:B296=B297),$O$1:O296),0)*$E297,0),"return_of_capital",IFERROR(LOOKUP(2,1/($B$1:B296=B297),$P$1:P296),0)-ABS($M297),"split",IFERROR(LOOKUP(2,1/($B$1:B296=B297),$P$1:P296),0),IFERROR(LOOKUP(2,1/($B$1:B296=B297),$P$1:P296),0)))</x:f>
      </x:c>
      <x:c r="Q297" t="str">
        <x:f>IFERROR($P297/$O297,"")</x:f>
      </x:c>
      <x:c r="R297" t="str">
        <x:f>IF(LOWER($D297)="sell",$M297-$N297-IFERROR(IFERROR(LOOKUP(2,1/($B$1:B296=B297),$P$1:P296),0)/IFERROR(LOOKUP(2,1/($B$1:B296=B297),$O$1:O296),0)*$E297,0),"")</x:f>
      </x:c>
      <x:c r="S297" t="str">
        <x:f>IF(COUNTA($A297:$D297)=0,"",IF($B297="","Missing symbol",IF($D297="","Missing action",IF(AND(LOWER($D297)="sell",$E297&gt;IFERROR(LOOKUP(2,1/($B$1:B296=B297),$O$1:O296),0)),"Sold more units than available","OK"))))</x:f>
      </x:c>
    </x:row>
    <x:row r="298">
      <x:c r="M298" t="str">
        <x:f>IF(COUNTA($A298:$D298)=0,"",IF($G298&lt;&gt;"",$G298,IF(AND($E298&lt;&gt;"",$F298&lt;&gt;""),$E298*$F298,""))*IF($J298&lt;&gt;"",$J298,1))</x:f>
      </x:c>
      <x:c r="N298" t="str">
        <x:f>IF(COUNTA($A298:$D298)=0,"",IF($H298&lt;&gt;"",$H298,0)*IF($J298&lt;&gt;"",$J298,1))</x:f>
      </x:c>
      <x:c r="O298" t="str">
        <x:f>IF(COUNTA($A298:$D298)=0,"",SWITCH(LOWER($D298),"buy",IFERROR(LOOKUP(2,1/($B$1:B297=B298),$O$1:O297),0)+$E298,"drip",IFERROR(LOOKUP(2,1/($B$1:B297=B298),$O$1:O297),0)+$E298,"sell",IFERROR(LOOKUP(2,1/($B$1:B297=B298),$O$1:O297),0)-$E298,"return_of_capital",IFERROR(LOOKUP(2,1/($B$1:B297=B298),$O$1:O297),0),"split",$E298,IFERROR(LOOKUP(2,1/($B$1:B297=B298),$O$1:O297),0)))</x:f>
      </x:c>
      <x:c r="P298" t="str">
        <x:f>IF(COUNTA($A298:$D298)=0,"",SWITCH(LOWER($D298),"buy",IFERROR(LOOKUP(2,1/($B$1:B297=B298),$P$1:P297),0)+$M298+$N298,"drip",IFERROR(LOOKUP(2,1/($B$1:B297=B298),$P$1:P297),0)+$M298+$N298,"sell",IFERROR(LOOKUP(2,1/($B$1:B297=B298),$P$1:P297),0)-IFERROR(IFERROR(LOOKUP(2,1/($B$1:B297=B298),$P$1:P297),0)/IFERROR(LOOKUP(2,1/($B$1:B297=B298),$O$1:O297),0)*$E298,0),"return_of_capital",IFERROR(LOOKUP(2,1/($B$1:B297=B298),$P$1:P297),0)-ABS($M298),"split",IFERROR(LOOKUP(2,1/($B$1:B297=B298),$P$1:P297),0),IFERROR(LOOKUP(2,1/($B$1:B297=B298),$P$1:P297),0)))</x:f>
      </x:c>
      <x:c r="Q298" t="str">
        <x:f>IFERROR($P298/$O298,"")</x:f>
      </x:c>
      <x:c r="R298" t="str">
        <x:f>IF(LOWER($D298)="sell",$M298-$N298-IFERROR(IFERROR(LOOKUP(2,1/($B$1:B297=B298),$P$1:P297),0)/IFERROR(LOOKUP(2,1/($B$1:B297=B298),$O$1:O297),0)*$E298,0),"")</x:f>
      </x:c>
      <x:c r="S298" t="str">
        <x:f>IF(COUNTA($A298:$D298)=0,"",IF($B298="","Missing symbol",IF($D298="","Missing action",IF(AND(LOWER($D298)="sell",$E298&gt;IFERROR(LOOKUP(2,1/($B$1:B297=B298),$O$1:O297),0)),"Sold more units than available","OK"))))</x:f>
      </x:c>
    </x:row>
    <x:row r="299">
      <x:c r="M299" t="str">
        <x:f>IF(COUNTA($A299:$D299)=0,"",IF($G299&lt;&gt;"",$G299,IF(AND($E299&lt;&gt;"",$F299&lt;&gt;""),$E299*$F299,""))*IF($J299&lt;&gt;"",$J299,1))</x:f>
      </x:c>
      <x:c r="N299" t="str">
        <x:f>IF(COUNTA($A299:$D299)=0,"",IF($H299&lt;&gt;"",$H299,0)*IF($J299&lt;&gt;"",$J299,1))</x:f>
      </x:c>
      <x:c r="O299" t="str">
        <x:f>IF(COUNTA($A299:$D299)=0,"",SWITCH(LOWER($D299),"buy",IFERROR(LOOKUP(2,1/($B$1:B298=B299),$O$1:O298),0)+$E299,"drip",IFERROR(LOOKUP(2,1/($B$1:B298=B299),$O$1:O298),0)+$E299,"sell",IFERROR(LOOKUP(2,1/($B$1:B298=B299),$O$1:O298),0)-$E299,"return_of_capital",IFERROR(LOOKUP(2,1/($B$1:B298=B299),$O$1:O298),0),"split",$E299,IFERROR(LOOKUP(2,1/($B$1:B298=B299),$O$1:O298),0)))</x:f>
      </x:c>
      <x:c r="P299" t="str">
        <x:f>IF(COUNTA($A299:$D299)=0,"",SWITCH(LOWER($D299),"buy",IFERROR(LOOKUP(2,1/($B$1:B298=B299),$P$1:P298),0)+$M299+$N299,"drip",IFERROR(LOOKUP(2,1/($B$1:B298=B299),$P$1:P298),0)+$M299+$N299,"sell",IFERROR(LOOKUP(2,1/($B$1:B298=B299),$P$1:P298),0)-IFERROR(IFERROR(LOOKUP(2,1/($B$1:B298=B299),$P$1:P298),0)/IFERROR(LOOKUP(2,1/($B$1:B298=B299),$O$1:O298),0)*$E299,0),"return_of_capital",IFERROR(LOOKUP(2,1/($B$1:B298=B299),$P$1:P298),0)-ABS($M299),"split",IFERROR(LOOKUP(2,1/($B$1:B298=B299),$P$1:P298),0),IFERROR(LOOKUP(2,1/($B$1:B298=B299),$P$1:P298),0)))</x:f>
      </x:c>
      <x:c r="Q299" t="str">
        <x:f>IFERROR($P299/$O299,"")</x:f>
      </x:c>
      <x:c r="R299" t="str">
        <x:f>IF(LOWER($D299)="sell",$M299-$N299-IFERROR(IFERROR(LOOKUP(2,1/($B$1:B298=B299),$P$1:P298),0)/IFERROR(LOOKUP(2,1/($B$1:B298=B299),$O$1:O298),0)*$E299,0),"")</x:f>
      </x:c>
      <x:c r="S299" t="str">
        <x:f>IF(COUNTA($A299:$D299)=0,"",IF($B299="","Missing symbol",IF($D299="","Missing action",IF(AND(LOWER($D299)="sell",$E299&gt;IFERROR(LOOKUP(2,1/($B$1:B298=B299),$O$1:O298),0)),"Sold more units than available","OK"))))</x:f>
      </x:c>
    </x:row>
    <x:row r="300">
      <x:c r="M300" t="str">
        <x:f>IF(COUNTA($A300:$D300)=0,"",IF($G300&lt;&gt;"",$G300,IF(AND($E300&lt;&gt;"",$F300&lt;&gt;""),$E300*$F300,""))*IF($J300&lt;&gt;"",$J300,1))</x:f>
      </x:c>
      <x:c r="N300" t="str">
        <x:f>IF(COUNTA($A300:$D300)=0,"",IF($H300&lt;&gt;"",$H300,0)*IF($J300&lt;&gt;"",$J300,1))</x:f>
      </x:c>
      <x:c r="O300" t="str">
        <x:f>IF(COUNTA($A300:$D300)=0,"",SWITCH(LOWER($D300),"buy",IFERROR(LOOKUP(2,1/($B$1:B299=B300),$O$1:O299),0)+$E300,"drip",IFERROR(LOOKUP(2,1/($B$1:B299=B300),$O$1:O299),0)+$E300,"sell",IFERROR(LOOKUP(2,1/($B$1:B299=B300),$O$1:O299),0)-$E300,"return_of_capital",IFERROR(LOOKUP(2,1/($B$1:B299=B300),$O$1:O299),0),"split",$E300,IFERROR(LOOKUP(2,1/($B$1:B299=B300),$O$1:O299),0)))</x:f>
      </x:c>
      <x:c r="P300" t="str">
        <x:f>IF(COUNTA($A300:$D300)=0,"",SWITCH(LOWER($D300),"buy",IFERROR(LOOKUP(2,1/($B$1:B299=B300),$P$1:P299),0)+$M300+$N300,"drip",IFERROR(LOOKUP(2,1/($B$1:B299=B300),$P$1:P299),0)+$M300+$N300,"sell",IFERROR(LOOKUP(2,1/($B$1:B299=B300),$P$1:P299),0)-IFERROR(IFERROR(LOOKUP(2,1/($B$1:B299=B300),$P$1:P299),0)/IFERROR(LOOKUP(2,1/($B$1:B299=B300),$O$1:O299),0)*$E300,0),"return_of_capital",IFERROR(LOOKUP(2,1/($B$1:B299=B300),$P$1:P299),0)-ABS($M300),"split",IFERROR(LOOKUP(2,1/($B$1:B299=B300),$P$1:P299),0),IFERROR(LOOKUP(2,1/($B$1:B299=B300),$P$1:P299),0)))</x:f>
      </x:c>
      <x:c r="Q300" t="str">
        <x:f>IFERROR($P300/$O300,"")</x:f>
      </x:c>
      <x:c r="R300" t="str">
        <x:f>IF(LOWER($D300)="sell",$M300-$N300-IFERROR(IFERROR(LOOKUP(2,1/($B$1:B299=B300),$P$1:P299),0)/IFERROR(LOOKUP(2,1/($B$1:B299=B300),$O$1:O299),0)*$E300,0),"")</x:f>
      </x:c>
      <x:c r="S300" t="str">
        <x:f>IF(COUNTA($A300:$D300)=0,"",IF($B300="","Missing symbol",IF($D300="","Missing action",IF(AND(LOWER($D300)="sell",$E300&gt;IFERROR(LOOKUP(2,1/($B$1:B299=B300),$O$1:O299),0)),"Sold more units than available","OK"))))</x:f>
      </x:c>
    </x:row>
    <x:row r="301">
      <x:c r="M301" t="str">
        <x:f>IF(COUNTA($A301:$D301)=0,"",IF($G301&lt;&gt;"",$G301,IF(AND($E301&lt;&gt;"",$F301&lt;&gt;""),$E301*$F301,""))*IF($J301&lt;&gt;"",$J301,1))</x:f>
      </x:c>
      <x:c r="N301" t="str">
        <x:f>IF(COUNTA($A301:$D301)=0,"",IF($H301&lt;&gt;"",$H301,0)*IF($J301&lt;&gt;"",$J301,1))</x:f>
      </x:c>
      <x:c r="O301" t="str">
        <x:f>IF(COUNTA($A301:$D301)=0,"",SWITCH(LOWER($D301),"buy",IFERROR(LOOKUP(2,1/($B$1:B300=B301),$O$1:O300),0)+$E301,"drip",IFERROR(LOOKUP(2,1/($B$1:B300=B301),$O$1:O300),0)+$E301,"sell",IFERROR(LOOKUP(2,1/($B$1:B300=B301),$O$1:O300),0)-$E301,"return_of_capital",IFERROR(LOOKUP(2,1/($B$1:B300=B301),$O$1:O300),0),"split",$E301,IFERROR(LOOKUP(2,1/($B$1:B300=B301),$O$1:O300),0)))</x:f>
      </x:c>
      <x:c r="P301" t="str">
        <x:f>IF(COUNTA($A301:$D301)=0,"",SWITCH(LOWER($D301),"buy",IFERROR(LOOKUP(2,1/($B$1:B300=B301),$P$1:P300),0)+$M301+$N301,"drip",IFERROR(LOOKUP(2,1/($B$1:B300=B301),$P$1:P300),0)+$M301+$N301,"sell",IFERROR(LOOKUP(2,1/($B$1:B300=B301),$P$1:P300),0)-IFERROR(IFERROR(LOOKUP(2,1/($B$1:B300=B301),$P$1:P300),0)/IFERROR(LOOKUP(2,1/($B$1:B300=B301),$O$1:O300),0)*$E301,0),"return_of_capital",IFERROR(LOOKUP(2,1/($B$1:B300=B301),$P$1:P300),0)-ABS($M301),"split",IFERROR(LOOKUP(2,1/($B$1:B300=B301),$P$1:P300),0),IFERROR(LOOKUP(2,1/($B$1:B300=B301),$P$1:P300),0)))</x:f>
      </x:c>
      <x:c r="Q301" t="str">
        <x:f>IFERROR($P301/$O301,"")</x:f>
      </x:c>
      <x:c r="R301" t="str">
        <x:f>IF(LOWER($D301)="sell",$M301-$N301-IFERROR(IFERROR(LOOKUP(2,1/($B$1:B300=B301),$P$1:P300),0)/IFERROR(LOOKUP(2,1/($B$1:B300=B301),$O$1:O300),0)*$E301,0),"")</x:f>
      </x:c>
      <x:c r="S301" t="str">
        <x:f>IF(COUNTA($A301:$D301)=0,"",IF($B301="","Missing symbol",IF($D301="","Missing action",IF(AND(LOWER($D301)="sell",$E301&gt;IFERROR(LOOKUP(2,1/($B$1:B300=B301),$O$1:O300),0)),"Sold more units than available","OK"))))</x:f>
      </x:c>
    </x:row>
    <x:row r="302">
      <x:c r="M302" t="str">
        <x:f>IF(COUNTA($A302:$D302)=0,"",IF($G302&lt;&gt;"",$G302,IF(AND($E302&lt;&gt;"",$F302&lt;&gt;""),$E302*$F302,""))*IF($J302&lt;&gt;"",$J302,1))</x:f>
      </x:c>
      <x:c r="N302" t="str">
        <x:f>IF(COUNTA($A302:$D302)=0,"",IF($H302&lt;&gt;"",$H302,0)*IF($J302&lt;&gt;"",$J302,1))</x:f>
      </x:c>
      <x:c r="O302" t="str">
        <x:f>IF(COUNTA($A302:$D302)=0,"",SWITCH(LOWER($D302),"buy",IFERROR(LOOKUP(2,1/($B$1:B301=B302),$O$1:O301),0)+$E302,"drip",IFERROR(LOOKUP(2,1/($B$1:B301=B302),$O$1:O301),0)+$E302,"sell",IFERROR(LOOKUP(2,1/($B$1:B301=B302),$O$1:O301),0)-$E302,"return_of_capital",IFERROR(LOOKUP(2,1/($B$1:B301=B302),$O$1:O301),0),"split",$E302,IFERROR(LOOKUP(2,1/($B$1:B301=B302),$O$1:O301),0)))</x:f>
      </x:c>
      <x:c r="P302" t="str">
        <x:f>IF(COUNTA($A302:$D302)=0,"",SWITCH(LOWER($D302),"buy",IFERROR(LOOKUP(2,1/($B$1:B301=B302),$P$1:P301),0)+$M302+$N302,"drip",IFERROR(LOOKUP(2,1/($B$1:B301=B302),$P$1:P301),0)+$M302+$N302,"sell",IFERROR(LOOKUP(2,1/($B$1:B301=B302),$P$1:P301),0)-IFERROR(IFERROR(LOOKUP(2,1/($B$1:B301=B302),$P$1:P301),0)/IFERROR(LOOKUP(2,1/($B$1:B301=B302),$O$1:O301),0)*$E302,0),"return_of_capital",IFERROR(LOOKUP(2,1/($B$1:B301=B302),$P$1:P301),0)-ABS($M302),"split",IFERROR(LOOKUP(2,1/($B$1:B301=B302),$P$1:P301),0),IFERROR(LOOKUP(2,1/($B$1:B301=B302),$P$1:P301),0)))</x:f>
      </x:c>
      <x:c r="Q302" t="str">
        <x:f>IFERROR($P302/$O302,"")</x:f>
      </x:c>
      <x:c r="R302" t="str">
        <x:f>IF(LOWER($D302)="sell",$M302-$N302-IFERROR(IFERROR(LOOKUP(2,1/($B$1:B301=B302),$P$1:P301),0)/IFERROR(LOOKUP(2,1/($B$1:B301=B302),$O$1:O301),0)*$E302,0),"")</x:f>
      </x:c>
      <x:c r="S302" t="str">
        <x:f>IF(COUNTA($A302:$D302)=0,"",IF($B302="","Missing symbol",IF($D302="","Missing action",IF(AND(LOWER($D302)="sell",$E302&gt;IFERROR(LOOKUP(2,1/($B$1:B301=B302),$O$1:O301),0)),"Sold more units than available","OK"))))</x:f>
      </x:c>
    </x:row>
    <x:row r="303">
      <x:c r="M303" t="str">
        <x:f>IF(COUNTA($A303:$D303)=0,"",IF($G303&lt;&gt;"",$G303,IF(AND($E303&lt;&gt;"",$F303&lt;&gt;""),$E303*$F303,""))*IF($J303&lt;&gt;"",$J303,1))</x:f>
      </x:c>
      <x:c r="N303" t="str">
        <x:f>IF(COUNTA($A303:$D303)=0,"",IF($H303&lt;&gt;"",$H303,0)*IF($J303&lt;&gt;"",$J303,1))</x:f>
      </x:c>
      <x:c r="O303" t="str">
        <x:f>IF(COUNTA($A303:$D303)=0,"",SWITCH(LOWER($D303),"buy",IFERROR(LOOKUP(2,1/($B$1:B302=B303),$O$1:O302),0)+$E303,"drip",IFERROR(LOOKUP(2,1/($B$1:B302=B303),$O$1:O302),0)+$E303,"sell",IFERROR(LOOKUP(2,1/($B$1:B302=B303),$O$1:O302),0)-$E303,"return_of_capital",IFERROR(LOOKUP(2,1/($B$1:B302=B303),$O$1:O302),0),"split",$E303,IFERROR(LOOKUP(2,1/($B$1:B302=B303),$O$1:O302),0)))</x:f>
      </x:c>
      <x:c r="P303" t="str">
        <x:f>IF(COUNTA($A303:$D303)=0,"",SWITCH(LOWER($D303),"buy",IFERROR(LOOKUP(2,1/($B$1:B302=B303),$P$1:P302),0)+$M303+$N303,"drip",IFERROR(LOOKUP(2,1/($B$1:B302=B303),$P$1:P302),0)+$M303+$N303,"sell",IFERROR(LOOKUP(2,1/($B$1:B302=B303),$P$1:P302),0)-IFERROR(IFERROR(LOOKUP(2,1/($B$1:B302=B303),$P$1:P302),0)/IFERROR(LOOKUP(2,1/($B$1:B302=B303),$O$1:O302),0)*$E303,0),"return_of_capital",IFERROR(LOOKUP(2,1/($B$1:B302=B303),$P$1:P302),0)-ABS($M303),"split",IFERROR(LOOKUP(2,1/($B$1:B302=B303),$P$1:P302),0),IFERROR(LOOKUP(2,1/($B$1:B302=B303),$P$1:P302),0)))</x:f>
      </x:c>
      <x:c r="Q303" t="str">
        <x:f>IFERROR($P303/$O303,"")</x:f>
      </x:c>
      <x:c r="R303" t="str">
        <x:f>IF(LOWER($D303)="sell",$M303-$N303-IFERROR(IFERROR(LOOKUP(2,1/($B$1:B302=B303),$P$1:P302),0)/IFERROR(LOOKUP(2,1/($B$1:B302=B303),$O$1:O302),0)*$E303,0),"")</x:f>
      </x:c>
      <x:c r="S303" t="str">
        <x:f>IF(COUNTA($A303:$D303)=0,"",IF($B303="","Missing symbol",IF($D303="","Missing action",IF(AND(LOWER($D303)="sell",$E303&gt;IFERROR(LOOKUP(2,1/($B$1:B302=B303),$O$1:O302),0)),"Sold more units than available","OK"))))</x:f>
      </x:c>
    </x:row>
    <x:row r="304">
      <x:c r="M304" t="str">
        <x:f>IF(COUNTA($A304:$D304)=0,"",IF($G304&lt;&gt;"",$G304,IF(AND($E304&lt;&gt;"",$F304&lt;&gt;""),$E304*$F304,""))*IF($J304&lt;&gt;"",$J304,1))</x:f>
      </x:c>
      <x:c r="N304" t="str">
        <x:f>IF(COUNTA($A304:$D304)=0,"",IF($H304&lt;&gt;"",$H304,0)*IF($J304&lt;&gt;"",$J304,1))</x:f>
      </x:c>
      <x:c r="O304" t="str">
        <x:f>IF(COUNTA($A304:$D304)=0,"",SWITCH(LOWER($D304),"buy",IFERROR(LOOKUP(2,1/($B$1:B303=B304),$O$1:O303),0)+$E304,"drip",IFERROR(LOOKUP(2,1/($B$1:B303=B304),$O$1:O303),0)+$E304,"sell",IFERROR(LOOKUP(2,1/($B$1:B303=B304),$O$1:O303),0)-$E304,"return_of_capital",IFERROR(LOOKUP(2,1/($B$1:B303=B304),$O$1:O303),0),"split",$E304,IFERROR(LOOKUP(2,1/($B$1:B303=B304),$O$1:O303),0)))</x:f>
      </x:c>
      <x:c r="P304" t="str">
        <x:f>IF(COUNTA($A304:$D304)=0,"",SWITCH(LOWER($D304),"buy",IFERROR(LOOKUP(2,1/($B$1:B303=B304),$P$1:P303),0)+$M304+$N304,"drip",IFERROR(LOOKUP(2,1/($B$1:B303=B304),$P$1:P303),0)+$M304+$N304,"sell",IFERROR(LOOKUP(2,1/($B$1:B303=B304),$P$1:P303),0)-IFERROR(IFERROR(LOOKUP(2,1/($B$1:B303=B304),$P$1:P303),0)/IFERROR(LOOKUP(2,1/($B$1:B303=B304),$O$1:O303),0)*$E304,0),"return_of_capital",IFERROR(LOOKUP(2,1/($B$1:B303=B304),$P$1:P303),0)-ABS($M304),"split",IFERROR(LOOKUP(2,1/($B$1:B303=B304),$P$1:P303),0),IFERROR(LOOKUP(2,1/($B$1:B303=B304),$P$1:P303),0)))</x:f>
      </x:c>
      <x:c r="Q304" t="str">
        <x:f>IFERROR($P304/$O304,"")</x:f>
      </x:c>
      <x:c r="R304" t="str">
        <x:f>IF(LOWER($D304)="sell",$M304-$N304-IFERROR(IFERROR(LOOKUP(2,1/($B$1:B303=B304),$P$1:P303),0)/IFERROR(LOOKUP(2,1/($B$1:B303=B304),$O$1:O303),0)*$E304,0),"")</x:f>
      </x:c>
      <x:c r="S304" t="str">
        <x:f>IF(COUNTA($A304:$D304)=0,"",IF($B304="","Missing symbol",IF($D304="","Missing action",IF(AND(LOWER($D304)="sell",$E304&gt;IFERROR(LOOKUP(2,1/($B$1:B303=B304),$O$1:O303),0)),"Sold more units than available","OK"))))</x:f>
      </x:c>
    </x:row>
    <x:row r="305">
      <x:c r="M305" t="str">
        <x:f>IF(COUNTA($A305:$D305)=0,"",IF($G305&lt;&gt;"",$G305,IF(AND($E305&lt;&gt;"",$F305&lt;&gt;""),$E305*$F305,""))*IF($J305&lt;&gt;"",$J305,1))</x:f>
      </x:c>
      <x:c r="N305" t="str">
        <x:f>IF(COUNTA($A305:$D305)=0,"",IF($H305&lt;&gt;"",$H305,0)*IF($J305&lt;&gt;"",$J305,1))</x:f>
      </x:c>
      <x:c r="O305" t="str">
        <x:f>IF(COUNTA($A305:$D305)=0,"",SWITCH(LOWER($D305),"buy",IFERROR(LOOKUP(2,1/($B$1:B304=B305),$O$1:O304),0)+$E305,"drip",IFERROR(LOOKUP(2,1/($B$1:B304=B305),$O$1:O304),0)+$E305,"sell",IFERROR(LOOKUP(2,1/($B$1:B304=B305),$O$1:O304),0)-$E305,"return_of_capital",IFERROR(LOOKUP(2,1/($B$1:B304=B305),$O$1:O304),0),"split",$E305,IFERROR(LOOKUP(2,1/($B$1:B304=B305),$O$1:O304),0)))</x:f>
      </x:c>
      <x:c r="P305" t="str">
        <x:f>IF(COUNTA($A305:$D305)=0,"",SWITCH(LOWER($D305),"buy",IFERROR(LOOKUP(2,1/($B$1:B304=B305),$P$1:P304),0)+$M305+$N305,"drip",IFERROR(LOOKUP(2,1/($B$1:B304=B305),$P$1:P304),0)+$M305+$N305,"sell",IFERROR(LOOKUP(2,1/($B$1:B304=B305),$P$1:P304),0)-IFERROR(IFERROR(LOOKUP(2,1/($B$1:B304=B305),$P$1:P304),0)/IFERROR(LOOKUP(2,1/($B$1:B304=B305),$O$1:O304),0)*$E305,0),"return_of_capital",IFERROR(LOOKUP(2,1/($B$1:B304=B305),$P$1:P304),0)-ABS($M305),"split",IFERROR(LOOKUP(2,1/($B$1:B304=B305),$P$1:P304),0),IFERROR(LOOKUP(2,1/($B$1:B304=B305),$P$1:P304),0)))</x:f>
      </x:c>
      <x:c r="Q305" t="str">
        <x:f>IFERROR($P305/$O305,"")</x:f>
      </x:c>
      <x:c r="R305" t="str">
        <x:f>IF(LOWER($D305)="sell",$M305-$N305-IFERROR(IFERROR(LOOKUP(2,1/($B$1:B304=B305),$P$1:P304),0)/IFERROR(LOOKUP(2,1/($B$1:B304=B305),$O$1:O304),0)*$E305,0),"")</x:f>
      </x:c>
      <x:c r="S305" t="str">
        <x:f>IF(COUNTA($A305:$D305)=0,"",IF($B305="","Missing symbol",IF($D305="","Missing action",IF(AND(LOWER($D305)="sell",$E305&gt;IFERROR(LOOKUP(2,1/($B$1:B304=B305),$O$1:O304),0)),"Sold more units than available","OK"))))</x:f>
      </x:c>
    </x:row>
    <x:row r="306">
      <x:c r="M306" t="str">
        <x:f>IF(COUNTA($A306:$D306)=0,"",IF($G306&lt;&gt;"",$G306,IF(AND($E306&lt;&gt;"",$F306&lt;&gt;""),$E306*$F306,""))*IF($J306&lt;&gt;"",$J306,1))</x:f>
      </x:c>
      <x:c r="N306" t="str">
        <x:f>IF(COUNTA($A306:$D306)=0,"",IF($H306&lt;&gt;"",$H306,0)*IF($J306&lt;&gt;"",$J306,1))</x:f>
      </x:c>
      <x:c r="O306" t="str">
        <x:f>IF(COUNTA($A306:$D306)=0,"",SWITCH(LOWER($D306),"buy",IFERROR(LOOKUP(2,1/($B$1:B305=B306),$O$1:O305),0)+$E306,"drip",IFERROR(LOOKUP(2,1/($B$1:B305=B306),$O$1:O305),0)+$E306,"sell",IFERROR(LOOKUP(2,1/($B$1:B305=B306),$O$1:O305),0)-$E306,"return_of_capital",IFERROR(LOOKUP(2,1/($B$1:B305=B306),$O$1:O305),0),"split",$E306,IFERROR(LOOKUP(2,1/($B$1:B305=B306),$O$1:O305),0)))</x:f>
      </x:c>
      <x:c r="P306" t="str">
        <x:f>IF(COUNTA($A306:$D306)=0,"",SWITCH(LOWER($D306),"buy",IFERROR(LOOKUP(2,1/($B$1:B305=B306),$P$1:P305),0)+$M306+$N306,"drip",IFERROR(LOOKUP(2,1/($B$1:B305=B306),$P$1:P305),0)+$M306+$N306,"sell",IFERROR(LOOKUP(2,1/($B$1:B305=B306),$P$1:P305),0)-IFERROR(IFERROR(LOOKUP(2,1/($B$1:B305=B306),$P$1:P305),0)/IFERROR(LOOKUP(2,1/($B$1:B305=B306),$O$1:O305),0)*$E306,0),"return_of_capital",IFERROR(LOOKUP(2,1/($B$1:B305=B306),$P$1:P305),0)-ABS($M306),"split",IFERROR(LOOKUP(2,1/($B$1:B305=B306),$P$1:P305),0),IFERROR(LOOKUP(2,1/($B$1:B305=B306),$P$1:P305),0)))</x:f>
      </x:c>
      <x:c r="Q306" t="str">
        <x:f>IFERROR($P306/$O306,"")</x:f>
      </x:c>
      <x:c r="R306" t="str">
        <x:f>IF(LOWER($D306)="sell",$M306-$N306-IFERROR(IFERROR(LOOKUP(2,1/($B$1:B305=B306),$P$1:P305),0)/IFERROR(LOOKUP(2,1/($B$1:B305=B306),$O$1:O305),0)*$E306,0),"")</x:f>
      </x:c>
      <x:c r="S306" t="str">
        <x:f>IF(COUNTA($A306:$D306)=0,"",IF($B306="","Missing symbol",IF($D306="","Missing action",IF(AND(LOWER($D306)="sell",$E306&gt;IFERROR(LOOKUP(2,1/($B$1:B305=B306),$O$1:O305),0)),"Sold more units than available","OK"))))</x:f>
      </x:c>
    </x:row>
    <x:row r="307">
      <x:c r="M307" t="str">
        <x:f>IF(COUNTA($A307:$D307)=0,"",IF($G307&lt;&gt;"",$G307,IF(AND($E307&lt;&gt;"",$F307&lt;&gt;""),$E307*$F307,""))*IF($J307&lt;&gt;"",$J307,1))</x:f>
      </x:c>
      <x:c r="N307" t="str">
        <x:f>IF(COUNTA($A307:$D307)=0,"",IF($H307&lt;&gt;"",$H307,0)*IF($J307&lt;&gt;"",$J307,1))</x:f>
      </x:c>
      <x:c r="O307" t="str">
        <x:f>IF(COUNTA($A307:$D307)=0,"",SWITCH(LOWER($D307),"buy",IFERROR(LOOKUP(2,1/($B$1:B306=B307),$O$1:O306),0)+$E307,"drip",IFERROR(LOOKUP(2,1/($B$1:B306=B307),$O$1:O306),0)+$E307,"sell",IFERROR(LOOKUP(2,1/($B$1:B306=B307),$O$1:O306),0)-$E307,"return_of_capital",IFERROR(LOOKUP(2,1/($B$1:B306=B307),$O$1:O306),0),"split",$E307,IFERROR(LOOKUP(2,1/($B$1:B306=B307),$O$1:O306),0)))</x:f>
      </x:c>
      <x:c r="P307" t="str">
        <x:f>IF(COUNTA($A307:$D307)=0,"",SWITCH(LOWER($D307),"buy",IFERROR(LOOKUP(2,1/($B$1:B306=B307),$P$1:P306),0)+$M307+$N307,"drip",IFERROR(LOOKUP(2,1/($B$1:B306=B307),$P$1:P306),0)+$M307+$N307,"sell",IFERROR(LOOKUP(2,1/($B$1:B306=B307),$P$1:P306),0)-IFERROR(IFERROR(LOOKUP(2,1/($B$1:B306=B307),$P$1:P306),0)/IFERROR(LOOKUP(2,1/($B$1:B306=B307),$O$1:O306),0)*$E307,0),"return_of_capital",IFERROR(LOOKUP(2,1/($B$1:B306=B307),$P$1:P306),0)-ABS($M307),"split",IFERROR(LOOKUP(2,1/($B$1:B306=B307),$P$1:P306),0),IFERROR(LOOKUP(2,1/($B$1:B306=B307),$P$1:P306),0)))</x:f>
      </x:c>
      <x:c r="Q307" t="str">
        <x:f>IFERROR($P307/$O307,"")</x:f>
      </x:c>
      <x:c r="R307" t="str">
        <x:f>IF(LOWER($D307)="sell",$M307-$N307-IFERROR(IFERROR(LOOKUP(2,1/($B$1:B306=B307),$P$1:P306),0)/IFERROR(LOOKUP(2,1/($B$1:B306=B307),$O$1:O306),0)*$E307,0),"")</x:f>
      </x:c>
      <x:c r="S307" t="str">
        <x:f>IF(COUNTA($A307:$D307)=0,"",IF($B307="","Missing symbol",IF($D307="","Missing action",IF(AND(LOWER($D307)="sell",$E307&gt;IFERROR(LOOKUP(2,1/($B$1:B306=B307),$O$1:O306),0)),"Sold more units than available","OK"))))</x:f>
      </x:c>
    </x:row>
    <x:row r="308">
      <x:c r="M308" t="str">
        <x:f>IF(COUNTA($A308:$D308)=0,"",IF($G308&lt;&gt;"",$G308,IF(AND($E308&lt;&gt;"",$F308&lt;&gt;""),$E308*$F308,""))*IF($J308&lt;&gt;"",$J308,1))</x:f>
      </x:c>
      <x:c r="N308" t="str">
        <x:f>IF(COUNTA($A308:$D308)=0,"",IF($H308&lt;&gt;"",$H308,0)*IF($J308&lt;&gt;"",$J308,1))</x:f>
      </x:c>
      <x:c r="O308" t="str">
        <x:f>IF(COUNTA($A308:$D308)=0,"",SWITCH(LOWER($D308),"buy",IFERROR(LOOKUP(2,1/($B$1:B307=B308),$O$1:O307),0)+$E308,"drip",IFERROR(LOOKUP(2,1/($B$1:B307=B308),$O$1:O307),0)+$E308,"sell",IFERROR(LOOKUP(2,1/($B$1:B307=B308),$O$1:O307),0)-$E308,"return_of_capital",IFERROR(LOOKUP(2,1/($B$1:B307=B308),$O$1:O307),0),"split",$E308,IFERROR(LOOKUP(2,1/($B$1:B307=B308),$O$1:O307),0)))</x:f>
      </x:c>
      <x:c r="P308" t="str">
        <x:f>IF(COUNTA($A308:$D308)=0,"",SWITCH(LOWER($D308),"buy",IFERROR(LOOKUP(2,1/($B$1:B307=B308),$P$1:P307),0)+$M308+$N308,"drip",IFERROR(LOOKUP(2,1/($B$1:B307=B308),$P$1:P307),0)+$M308+$N308,"sell",IFERROR(LOOKUP(2,1/($B$1:B307=B308),$P$1:P307),0)-IFERROR(IFERROR(LOOKUP(2,1/($B$1:B307=B308),$P$1:P307),0)/IFERROR(LOOKUP(2,1/($B$1:B307=B308),$O$1:O307),0)*$E308,0),"return_of_capital",IFERROR(LOOKUP(2,1/($B$1:B307=B308),$P$1:P307),0)-ABS($M308),"split",IFERROR(LOOKUP(2,1/($B$1:B307=B308),$P$1:P307),0),IFERROR(LOOKUP(2,1/($B$1:B307=B308),$P$1:P307),0)))</x:f>
      </x:c>
      <x:c r="Q308" t="str">
        <x:f>IFERROR($P308/$O308,"")</x:f>
      </x:c>
      <x:c r="R308" t="str">
        <x:f>IF(LOWER($D308)="sell",$M308-$N308-IFERROR(IFERROR(LOOKUP(2,1/($B$1:B307=B308),$P$1:P307),0)/IFERROR(LOOKUP(2,1/($B$1:B307=B308),$O$1:O307),0)*$E308,0),"")</x:f>
      </x:c>
      <x:c r="S308" t="str">
        <x:f>IF(COUNTA($A308:$D308)=0,"",IF($B308="","Missing symbol",IF($D308="","Missing action",IF(AND(LOWER($D308)="sell",$E308&gt;IFERROR(LOOKUP(2,1/($B$1:B307=B308),$O$1:O307),0)),"Sold more units than available","OK"))))</x:f>
      </x:c>
    </x:row>
    <x:row r="309">
      <x:c r="M309" t="str">
        <x:f>IF(COUNTA($A309:$D309)=0,"",IF($G309&lt;&gt;"",$G309,IF(AND($E309&lt;&gt;"",$F309&lt;&gt;""),$E309*$F309,""))*IF($J309&lt;&gt;"",$J309,1))</x:f>
      </x:c>
      <x:c r="N309" t="str">
        <x:f>IF(COUNTA($A309:$D309)=0,"",IF($H309&lt;&gt;"",$H309,0)*IF($J309&lt;&gt;"",$J309,1))</x:f>
      </x:c>
      <x:c r="O309" t="str">
        <x:f>IF(COUNTA($A309:$D309)=0,"",SWITCH(LOWER($D309),"buy",IFERROR(LOOKUP(2,1/($B$1:B308=B309),$O$1:O308),0)+$E309,"drip",IFERROR(LOOKUP(2,1/($B$1:B308=B309),$O$1:O308),0)+$E309,"sell",IFERROR(LOOKUP(2,1/($B$1:B308=B309),$O$1:O308),0)-$E309,"return_of_capital",IFERROR(LOOKUP(2,1/($B$1:B308=B309),$O$1:O308),0),"split",$E309,IFERROR(LOOKUP(2,1/($B$1:B308=B309),$O$1:O308),0)))</x:f>
      </x:c>
      <x:c r="P309" t="str">
        <x:f>IF(COUNTA($A309:$D309)=0,"",SWITCH(LOWER($D309),"buy",IFERROR(LOOKUP(2,1/($B$1:B308=B309),$P$1:P308),0)+$M309+$N309,"drip",IFERROR(LOOKUP(2,1/($B$1:B308=B309),$P$1:P308),0)+$M309+$N309,"sell",IFERROR(LOOKUP(2,1/($B$1:B308=B309),$P$1:P308),0)-IFERROR(IFERROR(LOOKUP(2,1/($B$1:B308=B309),$P$1:P308),0)/IFERROR(LOOKUP(2,1/($B$1:B308=B309),$O$1:O308),0)*$E309,0),"return_of_capital",IFERROR(LOOKUP(2,1/($B$1:B308=B309),$P$1:P308),0)-ABS($M309),"split",IFERROR(LOOKUP(2,1/($B$1:B308=B309),$P$1:P308),0),IFERROR(LOOKUP(2,1/($B$1:B308=B309),$P$1:P308),0)))</x:f>
      </x:c>
      <x:c r="Q309" t="str">
        <x:f>IFERROR($P309/$O309,"")</x:f>
      </x:c>
      <x:c r="R309" t="str">
        <x:f>IF(LOWER($D309)="sell",$M309-$N309-IFERROR(IFERROR(LOOKUP(2,1/($B$1:B308=B309),$P$1:P308),0)/IFERROR(LOOKUP(2,1/($B$1:B308=B309),$O$1:O308),0)*$E309,0),"")</x:f>
      </x:c>
      <x:c r="S309" t="str">
        <x:f>IF(COUNTA($A309:$D309)=0,"",IF($B309="","Missing symbol",IF($D309="","Missing action",IF(AND(LOWER($D309)="sell",$E309&gt;IFERROR(LOOKUP(2,1/($B$1:B308=B309),$O$1:O308),0)),"Sold more units than available","OK"))))</x:f>
      </x:c>
    </x:row>
    <x:row r="310">
      <x:c r="M310" t="str">
        <x:f>IF(COUNTA($A310:$D310)=0,"",IF($G310&lt;&gt;"",$G310,IF(AND($E310&lt;&gt;"",$F310&lt;&gt;""),$E310*$F310,""))*IF($J310&lt;&gt;"",$J310,1))</x:f>
      </x:c>
      <x:c r="N310" t="str">
        <x:f>IF(COUNTA($A310:$D310)=0,"",IF($H310&lt;&gt;"",$H310,0)*IF($J310&lt;&gt;"",$J310,1))</x:f>
      </x:c>
      <x:c r="O310" t="str">
        <x:f>IF(COUNTA($A310:$D310)=0,"",SWITCH(LOWER($D310),"buy",IFERROR(LOOKUP(2,1/($B$1:B309=B310),$O$1:O309),0)+$E310,"drip",IFERROR(LOOKUP(2,1/($B$1:B309=B310),$O$1:O309),0)+$E310,"sell",IFERROR(LOOKUP(2,1/($B$1:B309=B310),$O$1:O309),0)-$E310,"return_of_capital",IFERROR(LOOKUP(2,1/($B$1:B309=B310),$O$1:O309),0),"split",$E310,IFERROR(LOOKUP(2,1/($B$1:B309=B310),$O$1:O309),0)))</x:f>
      </x:c>
      <x:c r="P310" t="str">
        <x:f>IF(COUNTA($A310:$D310)=0,"",SWITCH(LOWER($D310),"buy",IFERROR(LOOKUP(2,1/($B$1:B309=B310),$P$1:P309),0)+$M310+$N310,"drip",IFERROR(LOOKUP(2,1/($B$1:B309=B310),$P$1:P309),0)+$M310+$N310,"sell",IFERROR(LOOKUP(2,1/($B$1:B309=B310),$P$1:P309),0)-IFERROR(IFERROR(LOOKUP(2,1/($B$1:B309=B310),$P$1:P309),0)/IFERROR(LOOKUP(2,1/($B$1:B309=B310),$O$1:O309),0)*$E310,0),"return_of_capital",IFERROR(LOOKUP(2,1/($B$1:B309=B310),$P$1:P309),0)-ABS($M310),"split",IFERROR(LOOKUP(2,1/($B$1:B309=B310),$P$1:P309),0),IFERROR(LOOKUP(2,1/($B$1:B309=B310),$P$1:P309),0)))</x:f>
      </x:c>
      <x:c r="Q310" t="str">
        <x:f>IFERROR($P310/$O310,"")</x:f>
      </x:c>
      <x:c r="R310" t="str">
        <x:f>IF(LOWER($D310)="sell",$M310-$N310-IFERROR(IFERROR(LOOKUP(2,1/($B$1:B309=B310),$P$1:P309),0)/IFERROR(LOOKUP(2,1/($B$1:B309=B310),$O$1:O309),0)*$E310,0),"")</x:f>
      </x:c>
      <x:c r="S310" t="str">
        <x:f>IF(COUNTA($A310:$D310)=0,"",IF($B310="","Missing symbol",IF($D310="","Missing action",IF(AND(LOWER($D310)="sell",$E310&gt;IFERROR(LOOKUP(2,1/($B$1:B309=B310),$O$1:O309),0)),"Sold more units than available","OK"))))</x:f>
      </x:c>
    </x:row>
    <x:row r="311">
      <x:c r="M311" t="str">
        <x:f>IF(COUNTA($A311:$D311)=0,"",IF($G311&lt;&gt;"",$G311,IF(AND($E311&lt;&gt;"",$F311&lt;&gt;""),$E311*$F311,""))*IF($J311&lt;&gt;"",$J311,1))</x:f>
      </x:c>
      <x:c r="N311" t="str">
        <x:f>IF(COUNTA($A311:$D311)=0,"",IF($H311&lt;&gt;"",$H311,0)*IF($J311&lt;&gt;"",$J311,1))</x:f>
      </x:c>
      <x:c r="O311" t="str">
        <x:f>IF(COUNTA($A311:$D311)=0,"",SWITCH(LOWER($D311),"buy",IFERROR(LOOKUP(2,1/($B$1:B310=B311),$O$1:O310),0)+$E311,"drip",IFERROR(LOOKUP(2,1/($B$1:B310=B311),$O$1:O310),0)+$E311,"sell",IFERROR(LOOKUP(2,1/($B$1:B310=B311),$O$1:O310),0)-$E311,"return_of_capital",IFERROR(LOOKUP(2,1/($B$1:B310=B311),$O$1:O310),0),"split",$E311,IFERROR(LOOKUP(2,1/($B$1:B310=B311),$O$1:O310),0)))</x:f>
      </x:c>
      <x:c r="P311" t="str">
        <x:f>IF(COUNTA($A311:$D311)=0,"",SWITCH(LOWER($D311),"buy",IFERROR(LOOKUP(2,1/($B$1:B310=B311),$P$1:P310),0)+$M311+$N311,"drip",IFERROR(LOOKUP(2,1/($B$1:B310=B311),$P$1:P310),0)+$M311+$N311,"sell",IFERROR(LOOKUP(2,1/($B$1:B310=B311),$P$1:P310),0)-IFERROR(IFERROR(LOOKUP(2,1/($B$1:B310=B311),$P$1:P310),0)/IFERROR(LOOKUP(2,1/($B$1:B310=B311),$O$1:O310),0)*$E311,0),"return_of_capital",IFERROR(LOOKUP(2,1/($B$1:B310=B311),$P$1:P310),0)-ABS($M311),"split",IFERROR(LOOKUP(2,1/($B$1:B310=B311),$P$1:P310),0),IFERROR(LOOKUP(2,1/($B$1:B310=B311),$P$1:P310),0)))</x:f>
      </x:c>
      <x:c r="Q311" t="str">
        <x:f>IFERROR($P311/$O311,"")</x:f>
      </x:c>
      <x:c r="R311" t="str">
        <x:f>IF(LOWER($D311)="sell",$M311-$N311-IFERROR(IFERROR(LOOKUP(2,1/($B$1:B310=B311),$P$1:P310),0)/IFERROR(LOOKUP(2,1/($B$1:B310=B311),$O$1:O310),0)*$E311,0),"")</x:f>
      </x:c>
      <x:c r="S311" t="str">
        <x:f>IF(COUNTA($A311:$D311)=0,"",IF($B311="","Missing symbol",IF($D311="","Missing action",IF(AND(LOWER($D311)="sell",$E311&gt;IFERROR(LOOKUP(2,1/($B$1:B310=B311),$O$1:O310),0)),"Sold more units than available","OK"))))</x:f>
      </x:c>
    </x:row>
    <x:row r="312">
      <x:c r="M312" t="str">
        <x:f>IF(COUNTA($A312:$D312)=0,"",IF($G312&lt;&gt;"",$G312,IF(AND($E312&lt;&gt;"",$F312&lt;&gt;""),$E312*$F312,""))*IF($J312&lt;&gt;"",$J312,1))</x:f>
      </x:c>
      <x:c r="N312" t="str">
        <x:f>IF(COUNTA($A312:$D312)=0,"",IF($H312&lt;&gt;"",$H312,0)*IF($J312&lt;&gt;"",$J312,1))</x:f>
      </x:c>
      <x:c r="O312" t="str">
        <x:f>IF(COUNTA($A312:$D312)=0,"",SWITCH(LOWER($D312),"buy",IFERROR(LOOKUP(2,1/($B$1:B311=B312),$O$1:O311),0)+$E312,"drip",IFERROR(LOOKUP(2,1/($B$1:B311=B312),$O$1:O311),0)+$E312,"sell",IFERROR(LOOKUP(2,1/($B$1:B311=B312),$O$1:O311),0)-$E312,"return_of_capital",IFERROR(LOOKUP(2,1/($B$1:B311=B312),$O$1:O311),0),"split",$E312,IFERROR(LOOKUP(2,1/($B$1:B311=B312),$O$1:O311),0)))</x:f>
      </x:c>
      <x:c r="P312" t="str">
        <x:f>IF(COUNTA($A312:$D312)=0,"",SWITCH(LOWER($D312),"buy",IFERROR(LOOKUP(2,1/($B$1:B311=B312),$P$1:P311),0)+$M312+$N312,"drip",IFERROR(LOOKUP(2,1/($B$1:B311=B312),$P$1:P311),0)+$M312+$N312,"sell",IFERROR(LOOKUP(2,1/($B$1:B311=B312),$P$1:P311),0)-IFERROR(IFERROR(LOOKUP(2,1/($B$1:B311=B312),$P$1:P311),0)/IFERROR(LOOKUP(2,1/($B$1:B311=B312),$O$1:O311),0)*$E312,0),"return_of_capital",IFERROR(LOOKUP(2,1/($B$1:B311=B312),$P$1:P311),0)-ABS($M312),"split",IFERROR(LOOKUP(2,1/($B$1:B311=B312),$P$1:P311),0),IFERROR(LOOKUP(2,1/($B$1:B311=B312),$P$1:P311),0)))</x:f>
      </x:c>
      <x:c r="Q312" t="str">
        <x:f>IFERROR($P312/$O312,"")</x:f>
      </x:c>
      <x:c r="R312" t="str">
        <x:f>IF(LOWER($D312)="sell",$M312-$N312-IFERROR(IFERROR(LOOKUP(2,1/($B$1:B311=B312),$P$1:P311),0)/IFERROR(LOOKUP(2,1/($B$1:B311=B312),$O$1:O311),0)*$E312,0),"")</x:f>
      </x:c>
      <x:c r="S312" t="str">
        <x:f>IF(COUNTA($A312:$D312)=0,"",IF($B312="","Missing symbol",IF($D312="","Missing action",IF(AND(LOWER($D312)="sell",$E312&gt;IFERROR(LOOKUP(2,1/($B$1:B311=B312),$O$1:O311),0)),"Sold more units than available","OK"))))</x:f>
      </x:c>
    </x:row>
    <x:row r="313">
      <x:c r="M313" t="str">
        <x:f>IF(COUNTA($A313:$D313)=0,"",IF($G313&lt;&gt;"",$G313,IF(AND($E313&lt;&gt;"",$F313&lt;&gt;""),$E313*$F313,""))*IF($J313&lt;&gt;"",$J313,1))</x:f>
      </x:c>
      <x:c r="N313" t="str">
        <x:f>IF(COUNTA($A313:$D313)=0,"",IF($H313&lt;&gt;"",$H313,0)*IF($J313&lt;&gt;"",$J313,1))</x:f>
      </x:c>
      <x:c r="O313" t="str">
        <x:f>IF(COUNTA($A313:$D313)=0,"",SWITCH(LOWER($D313),"buy",IFERROR(LOOKUP(2,1/($B$1:B312=B313),$O$1:O312),0)+$E313,"drip",IFERROR(LOOKUP(2,1/($B$1:B312=B313),$O$1:O312),0)+$E313,"sell",IFERROR(LOOKUP(2,1/($B$1:B312=B313),$O$1:O312),0)-$E313,"return_of_capital",IFERROR(LOOKUP(2,1/($B$1:B312=B313),$O$1:O312),0),"split",$E313,IFERROR(LOOKUP(2,1/($B$1:B312=B313),$O$1:O312),0)))</x:f>
      </x:c>
      <x:c r="P313" t="str">
        <x:f>IF(COUNTA($A313:$D313)=0,"",SWITCH(LOWER($D313),"buy",IFERROR(LOOKUP(2,1/($B$1:B312=B313),$P$1:P312),0)+$M313+$N313,"drip",IFERROR(LOOKUP(2,1/($B$1:B312=B313),$P$1:P312),0)+$M313+$N313,"sell",IFERROR(LOOKUP(2,1/($B$1:B312=B313),$P$1:P312),0)-IFERROR(IFERROR(LOOKUP(2,1/($B$1:B312=B313),$P$1:P312),0)/IFERROR(LOOKUP(2,1/($B$1:B312=B313),$O$1:O312),0)*$E313,0),"return_of_capital",IFERROR(LOOKUP(2,1/($B$1:B312=B313),$P$1:P312),0)-ABS($M313),"split",IFERROR(LOOKUP(2,1/($B$1:B312=B313),$P$1:P312),0),IFERROR(LOOKUP(2,1/($B$1:B312=B313),$P$1:P312),0)))</x:f>
      </x:c>
      <x:c r="Q313" t="str">
        <x:f>IFERROR($P313/$O313,"")</x:f>
      </x:c>
      <x:c r="R313" t="str">
        <x:f>IF(LOWER($D313)="sell",$M313-$N313-IFERROR(IFERROR(LOOKUP(2,1/($B$1:B312=B313),$P$1:P312),0)/IFERROR(LOOKUP(2,1/($B$1:B312=B313),$O$1:O312),0)*$E313,0),"")</x:f>
      </x:c>
      <x:c r="S313" t="str">
        <x:f>IF(COUNTA($A313:$D313)=0,"",IF($B313="","Missing symbol",IF($D313="","Missing action",IF(AND(LOWER($D313)="sell",$E313&gt;IFERROR(LOOKUP(2,1/($B$1:B312=B313),$O$1:O312),0)),"Sold more units than available","OK"))))</x:f>
      </x:c>
    </x:row>
    <x:row r="314">
      <x:c r="M314" t="str">
        <x:f>IF(COUNTA($A314:$D314)=0,"",IF($G314&lt;&gt;"",$G314,IF(AND($E314&lt;&gt;"",$F314&lt;&gt;""),$E314*$F314,""))*IF($J314&lt;&gt;"",$J314,1))</x:f>
      </x:c>
      <x:c r="N314" t="str">
        <x:f>IF(COUNTA($A314:$D314)=0,"",IF($H314&lt;&gt;"",$H314,0)*IF($J314&lt;&gt;"",$J314,1))</x:f>
      </x:c>
      <x:c r="O314" t="str">
        <x:f>IF(COUNTA($A314:$D314)=0,"",SWITCH(LOWER($D314),"buy",IFERROR(LOOKUP(2,1/($B$1:B313=B314),$O$1:O313),0)+$E314,"drip",IFERROR(LOOKUP(2,1/($B$1:B313=B314),$O$1:O313),0)+$E314,"sell",IFERROR(LOOKUP(2,1/($B$1:B313=B314),$O$1:O313),0)-$E314,"return_of_capital",IFERROR(LOOKUP(2,1/($B$1:B313=B314),$O$1:O313),0),"split",$E314,IFERROR(LOOKUP(2,1/($B$1:B313=B314),$O$1:O313),0)))</x:f>
      </x:c>
      <x:c r="P314" t="str">
        <x:f>IF(COUNTA($A314:$D314)=0,"",SWITCH(LOWER($D314),"buy",IFERROR(LOOKUP(2,1/($B$1:B313=B314),$P$1:P313),0)+$M314+$N314,"drip",IFERROR(LOOKUP(2,1/($B$1:B313=B314),$P$1:P313),0)+$M314+$N314,"sell",IFERROR(LOOKUP(2,1/($B$1:B313=B314),$P$1:P313),0)-IFERROR(IFERROR(LOOKUP(2,1/($B$1:B313=B314),$P$1:P313),0)/IFERROR(LOOKUP(2,1/($B$1:B313=B314),$O$1:O313),0)*$E314,0),"return_of_capital",IFERROR(LOOKUP(2,1/($B$1:B313=B314),$P$1:P313),0)-ABS($M314),"split",IFERROR(LOOKUP(2,1/($B$1:B313=B314),$P$1:P313),0),IFERROR(LOOKUP(2,1/($B$1:B313=B314),$P$1:P313),0)))</x:f>
      </x:c>
      <x:c r="Q314" t="str">
        <x:f>IFERROR($P314/$O314,"")</x:f>
      </x:c>
      <x:c r="R314" t="str">
        <x:f>IF(LOWER($D314)="sell",$M314-$N314-IFERROR(IFERROR(LOOKUP(2,1/($B$1:B313=B314),$P$1:P313),0)/IFERROR(LOOKUP(2,1/($B$1:B313=B314),$O$1:O313),0)*$E314,0),"")</x:f>
      </x:c>
      <x:c r="S314" t="str">
        <x:f>IF(COUNTA($A314:$D314)=0,"",IF($B314="","Missing symbol",IF($D314="","Missing action",IF(AND(LOWER($D314)="sell",$E314&gt;IFERROR(LOOKUP(2,1/($B$1:B313=B314),$O$1:O313),0)),"Sold more units than available","OK"))))</x:f>
      </x:c>
    </x:row>
    <x:row r="315">
      <x:c r="M315" t="str">
        <x:f>IF(COUNTA($A315:$D315)=0,"",IF($G315&lt;&gt;"",$G315,IF(AND($E315&lt;&gt;"",$F315&lt;&gt;""),$E315*$F315,""))*IF($J315&lt;&gt;"",$J315,1))</x:f>
      </x:c>
      <x:c r="N315" t="str">
        <x:f>IF(COUNTA($A315:$D315)=0,"",IF($H315&lt;&gt;"",$H315,0)*IF($J315&lt;&gt;"",$J315,1))</x:f>
      </x:c>
      <x:c r="O315" t="str">
        <x:f>IF(COUNTA($A315:$D315)=0,"",SWITCH(LOWER($D315),"buy",IFERROR(LOOKUP(2,1/($B$1:B314=B315),$O$1:O314),0)+$E315,"drip",IFERROR(LOOKUP(2,1/($B$1:B314=B315),$O$1:O314),0)+$E315,"sell",IFERROR(LOOKUP(2,1/($B$1:B314=B315),$O$1:O314),0)-$E315,"return_of_capital",IFERROR(LOOKUP(2,1/($B$1:B314=B315),$O$1:O314),0),"split",$E315,IFERROR(LOOKUP(2,1/($B$1:B314=B315),$O$1:O314),0)))</x:f>
      </x:c>
      <x:c r="P315" t="str">
        <x:f>IF(COUNTA($A315:$D315)=0,"",SWITCH(LOWER($D315),"buy",IFERROR(LOOKUP(2,1/($B$1:B314=B315),$P$1:P314),0)+$M315+$N315,"drip",IFERROR(LOOKUP(2,1/($B$1:B314=B315),$P$1:P314),0)+$M315+$N315,"sell",IFERROR(LOOKUP(2,1/($B$1:B314=B315),$P$1:P314),0)-IFERROR(IFERROR(LOOKUP(2,1/($B$1:B314=B315),$P$1:P314),0)/IFERROR(LOOKUP(2,1/($B$1:B314=B315),$O$1:O314),0)*$E315,0),"return_of_capital",IFERROR(LOOKUP(2,1/($B$1:B314=B315),$P$1:P314),0)-ABS($M315),"split",IFERROR(LOOKUP(2,1/($B$1:B314=B315),$P$1:P314),0),IFERROR(LOOKUP(2,1/($B$1:B314=B315),$P$1:P314),0)))</x:f>
      </x:c>
      <x:c r="Q315" t="str">
        <x:f>IFERROR($P315/$O315,"")</x:f>
      </x:c>
      <x:c r="R315" t="str">
        <x:f>IF(LOWER($D315)="sell",$M315-$N315-IFERROR(IFERROR(LOOKUP(2,1/($B$1:B314=B315),$P$1:P314),0)/IFERROR(LOOKUP(2,1/($B$1:B314=B315),$O$1:O314),0)*$E315,0),"")</x:f>
      </x:c>
      <x:c r="S315" t="str">
        <x:f>IF(COUNTA($A315:$D315)=0,"",IF($B315="","Missing symbol",IF($D315="","Missing action",IF(AND(LOWER($D315)="sell",$E315&gt;IFERROR(LOOKUP(2,1/($B$1:B314=B315),$O$1:O314),0)),"Sold more units than available","OK"))))</x:f>
      </x:c>
    </x:row>
    <x:row r="316">
      <x:c r="M316" t="str">
        <x:f>IF(COUNTA($A316:$D316)=0,"",IF($G316&lt;&gt;"",$G316,IF(AND($E316&lt;&gt;"",$F316&lt;&gt;""),$E316*$F316,""))*IF($J316&lt;&gt;"",$J316,1))</x:f>
      </x:c>
      <x:c r="N316" t="str">
        <x:f>IF(COUNTA($A316:$D316)=0,"",IF($H316&lt;&gt;"",$H316,0)*IF($J316&lt;&gt;"",$J316,1))</x:f>
      </x:c>
      <x:c r="O316" t="str">
        <x:f>IF(COUNTA($A316:$D316)=0,"",SWITCH(LOWER($D316),"buy",IFERROR(LOOKUP(2,1/($B$1:B315=B316),$O$1:O315),0)+$E316,"drip",IFERROR(LOOKUP(2,1/($B$1:B315=B316),$O$1:O315),0)+$E316,"sell",IFERROR(LOOKUP(2,1/($B$1:B315=B316),$O$1:O315),0)-$E316,"return_of_capital",IFERROR(LOOKUP(2,1/($B$1:B315=B316),$O$1:O315),0),"split",$E316,IFERROR(LOOKUP(2,1/($B$1:B315=B316),$O$1:O315),0)))</x:f>
      </x:c>
      <x:c r="P316" t="str">
        <x:f>IF(COUNTA($A316:$D316)=0,"",SWITCH(LOWER($D316),"buy",IFERROR(LOOKUP(2,1/($B$1:B315=B316),$P$1:P315),0)+$M316+$N316,"drip",IFERROR(LOOKUP(2,1/($B$1:B315=B316),$P$1:P315),0)+$M316+$N316,"sell",IFERROR(LOOKUP(2,1/($B$1:B315=B316),$P$1:P315),0)-IFERROR(IFERROR(LOOKUP(2,1/($B$1:B315=B316),$P$1:P315),0)/IFERROR(LOOKUP(2,1/($B$1:B315=B316),$O$1:O315),0)*$E316,0),"return_of_capital",IFERROR(LOOKUP(2,1/($B$1:B315=B316),$P$1:P315),0)-ABS($M316),"split",IFERROR(LOOKUP(2,1/($B$1:B315=B316),$P$1:P315),0),IFERROR(LOOKUP(2,1/($B$1:B315=B316),$P$1:P315),0)))</x:f>
      </x:c>
      <x:c r="Q316" t="str">
        <x:f>IFERROR($P316/$O316,"")</x:f>
      </x:c>
      <x:c r="R316" t="str">
        <x:f>IF(LOWER($D316)="sell",$M316-$N316-IFERROR(IFERROR(LOOKUP(2,1/($B$1:B315=B316),$P$1:P315),0)/IFERROR(LOOKUP(2,1/($B$1:B315=B316),$O$1:O315),0)*$E316,0),"")</x:f>
      </x:c>
      <x:c r="S316" t="str">
        <x:f>IF(COUNTA($A316:$D316)=0,"",IF($B316="","Missing symbol",IF($D316="","Missing action",IF(AND(LOWER($D316)="sell",$E316&gt;IFERROR(LOOKUP(2,1/($B$1:B315=B316),$O$1:O315),0)),"Sold more units than available","OK"))))</x:f>
      </x:c>
    </x:row>
    <x:row r="317">
      <x:c r="M317" t="str">
        <x:f>IF(COUNTA($A317:$D317)=0,"",IF($G317&lt;&gt;"",$G317,IF(AND($E317&lt;&gt;"",$F317&lt;&gt;""),$E317*$F317,""))*IF($J317&lt;&gt;"",$J317,1))</x:f>
      </x:c>
      <x:c r="N317" t="str">
        <x:f>IF(COUNTA($A317:$D317)=0,"",IF($H317&lt;&gt;"",$H317,0)*IF($J317&lt;&gt;"",$J317,1))</x:f>
      </x:c>
      <x:c r="O317" t="str">
        <x:f>IF(COUNTA($A317:$D317)=0,"",SWITCH(LOWER($D317),"buy",IFERROR(LOOKUP(2,1/($B$1:B316=B317),$O$1:O316),0)+$E317,"drip",IFERROR(LOOKUP(2,1/($B$1:B316=B317),$O$1:O316),0)+$E317,"sell",IFERROR(LOOKUP(2,1/($B$1:B316=B317),$O$1:O316),0)-$E317,"return_of_capital",IFERROR(LOOKUP(2,1/($B$1:B316=B317),$O$1:O316),0),"split",$E317,IFERROR(LOOKUP(2,1/($B$1:B316=B317),$O$1:O316),0)))</x:f>
      </x:c>
      <x:c r="P317" t="str">
        <x:f>IF(COUNTA($A317:$D317)=0,"",SWITCH(LOWER($D317),"buy",IFERROR(LOOKUP(2,1/($B$1:B316=B317),$P$1:P316),0)+$M317+$N317,"drip",IFERROR(LOOKUP(2,1/($B$1:B316=B317),$P$1:P316),0)+$M317+$N317,"sell",IFERROR(LOOKUP(2,1/($B$1:B316=B317),$P$1:P316),0)-IFERROR(IFERROR(LOOKUP(2,1/($B$1:B316=B317),$P$1:P316),0)/IFERROR(LOOKUP(2,1/($B$1:B316=B317),$O$1:O316),0)*$E317,0),"return_of_capital",IFERROR(LOOKUP(2,1/($B$1:B316=B317),$P$1:P316),0)-ABS($M317),"split",IFERROR(LOOKUP(2,1/($B$1:B316=B317),$P$1:P316),0),IFERROR(LOOKUP(2,1/($B$1:B316=B317),$P$1:P316),0)))</x:f>
      </x:c>
      <x:c r="Q317" t="str">
        <x:f>IFERROR($P317/$O317,"")</x:f>
      </x:c>
      <x:c r="R317" t="str">
        <x:f>IF(LOWER($D317)="sell",$M317-$N317-IFERROR(IFERROR(LOOKUP(2,1/($B$1:B316=B317),$P$1:P316),0)/IFERROR(LOOKUP(2,1/($B$1:B316=B317),$O$1:O316),0)*$E317,0),"")</x:f>
      </x:c>
      <x:c r="S317" t="str">
        <x:f>IF(COUNTA($A317:$D317)=0,"",IF($B317="","Missing symbol",IF($D317="","Missing action",IF(AND(LOWER($D317)="sell",$E317&gt;IFERROR(LOOKUP(2,1/($B$1:B316=B317),$O$1:O316),0)),"Sold more units than available","OK"))))</x:f>
      </x:c>
    </x:row>
    <x:row r="318">
      <x:c r="M318" t="str">
        <x:f>IF(COUNTA($A318:$D318)=0,"",IF($G318&lt;&gt;"",$G318,IF(AND($E318&lt;&gt;"",$F318&lt;&gt;""),$E318*$F318,""))*IF($J318&lt;&gt;"",$J318,1))</x:f>
      </x:c>
      <x:c r="N318" t="str">
        <x:f>IF(COUNTA($A318:$D318)=0,"",IF($H318&lt;&gt;"",$H318,0)*IF($J318&lt;&gt;"",$J318,1))</x:f>
      </x:c>
      <x:c r="O318" t="str">
        <x:f>IF(COUNTA($A318:$D318)=0,"",SWITCH(LOWER($D318),"buy",IFERROR(LOOKUP(2,1/($B$1:B317=B318),$O$1:O317),0)+$E318,"drip",IFERROR(LOOKUP(2,1/($B$1:B317=B318),$O$1:O317),0)+$E318,"sell",IFERROR(LOOKUP(2,1/($B$1:B317=B318),$O$1:O317),0)-$E318,"return_of_capital",IFERROR(LOOKUP(2,1/($B$1:B317=B318),$O$1:O317),0),"split",$E318,IFERROR(LOOKUP(2,1/($B$1:B317=B318),$O$1:O317),0)))</x:f>
      </x:c>
      <x:c r="P318" t="str">
        <x:f>IF(COUNTA($A318:$D318)=0,"",SWITCH(LOWER($D318),"buy",IFERROR(LOOKUP(2,1/($B$1:B317=B318),$P$1:P317),0)+$M318+$N318,"drip",IFERROR(LOOKUP(2,1/($B$1:B317=B318),$P$1:P317),0)+$M318+$N318,"sell",IFERROR(LOOKUP(2,1/($B$1:B317=B318),$P$1:P317),0)-IFERROR(IFERROR(LOOKUP(2,1/($B$1:B317=B318),$P$1:P317),0)/IFERROR(LOOKUP(2,1/($B$1:B317=B318),$O$1:O317),0)*$E318,0),"return_of_capital",IFERROR(LOOKUP(2,1/($B$1:B317=B318),$P$1:P317),0)-ABS($M318),"split",IFERROR(LOOKUP(2,1/($B$1:B317=B318),$P$1:P317),0),IFERROR(LOOKUP(2,1/($B$1:B317=B318),$P$1:P317),0)))</x:f>
      </x:c>
      <x:c r="Q318" t="str">
        <x:f>IFERROR($P318/$O318,"")</x:f>
      </x:c>
      <x:c r="R318" t="str">
        <x:f>IF(LOWER($D318)="sell",$M318-$N318-IFERROR(IFERROR(LOOKUP(2,1/($B$1:B317=B318),$P$1:P317),0)/IFERROR(LOOKUP(2,1/($B$1:B317=B318),$O$1:O317),0)*$E318,0),"")</x:f>
      </x:c>
      <x:c r="S318" t="str">
        <x:f>IF(COUNTA($A318:$D318)=0,"",IF($B318="","Missing symbol",IF($D318="","Missing action",IF(AND(LOWER($D318)="sell",$E318&gt;IFERROR(LOOKUP(2,1/($B$1:B317=B318),$O$1:O317),0)),"Sold more units than available","OK"))))</x:f>
      </x:c>
    </x:row>
    <x:row r="319">
      <x:c r="M319" t="str">
        <x:f>IF(COUNTA($A319:$D319)=0,"",IF($G319&lt;&gt;"",$G319,IF(AND($E319&lt;&gt;"",$F319&lt;&gt;""),$E319*$F319,""))*IF($J319&lt;&gt;"",$J319,1))</x:f>
      </x:c>
      <x:c r="N319" t="str">
        <x:f>IF(COUNTA($A319:$D319)=0,"",IF($H319&lt;&gt;"",$H319,0)*IF($J319&lt;&gt;"",$J319,1))</x:f>
      </x:c>
      <x:c r="O319" t="str">
        <x:f>IF(COUNTA($A319:$D319)=0,"",SWITCH(LOWER($D319),"buy",IFERROR(LOOKUP(2,1/($B$1:B318=B319),$O$1:O318),0)+$E319,"drip",IFERROR(LOOKUP(2,1/($B$1:B318=B319),$O$1:O318),0)+$E319,"sell",IFERROR(LOOKUP(2,1/($B$1:B318=B319),$O$1:O318),0)-$E319,"return_of_capital",IFERROR(LOOKUP(2,1/($B$1:B318=B319),$O$1:O318),0),"split",$E319,IFERROR(LOOKUP(2,1/($B$1:B318=B319),$O$1:O318),0)))</x:f>
      </x:c>
      <x:c r="P319" t="str">
        <x:f>IF(COUNTA($A319:$D319)=0,"",SWITCH(LOWER($D319),"buy",IFERROR(LOOKUP(2,1/($B$1:B318=B319),$P$1:P318),0)+$M319+$N319,"drip",IFERROR(LOOKUP(2,1/($B$1:B318=B319),$P$1:P318),0)+$M319+$N319,"sell",IFERROR(LOOKUP(2,1/($B$1:B318=B319),$P$1:P318),0)-IFERROR(IFERROR(LOOKUP(2,1/($B$1:B318=B319),$P$1:P318),0)/IFERROR(LOOKUP(2,1/($B$1:B318=B319),$O$1:O318),0)*$E319,0),"return_of_capital",IFERROR(LOOKUP(2,1/($B$1:B318=B319),$P$1:P318),0)-ABS($M319),"split",IFERROR(LOOKUP(2,1/($B$1:B318=B319),$P$1:P318),0),IFERROR(LOOKUP(2,1/($B$1:B318=B319),$P$1:P318),0)))</x:f>
      </x:c>
      <x:c r="Q319" t="str">
        <x:f>IFERROR($P319/$O319,"")</x:f>
      </x:c>
      <x:c r="R319" t="str">
        <x:f>IF(LOWER($D319)="sell",$M319-$N319-IFERROR(IFERROR(LOOKUP(2,1/($B$1:B318=B319),$P$1:P318),0)/IFERROR(LOOKUP(2,1/($B$1:B318=B319),$O$1:O318),0)*$E319,0),"")</x:f>
      </x:c>
      <x:c r="S319" t="str">
        <x:f>IF(COUNTA($A319:$D319)=0,"",IF($B319="","Missing symbol",IF($D319="","Missing action",IF(AND(LOWER($D319)="sell",$E319&gt;IFERROR(LOOKUP(2,1/($B$1:B318=B319),$O$1:O318),0)),"Sold more units than available","OK"))))</x:f>
      </x:c>
    </x:row>
    <x:row r="320">
      <x:c r="M320" t="str">
        <x:f>IF(COUNTA($A320:$D320)=0,"",IF($G320&lt;&gt;"",$G320,IF(AND($E320&lt;&gt;"",$F320&lt;&gt;""),$E320*$F320,""))*IF($J320&lt;&gt;"",$J320,1))</x:f>
      </x:c>
      <x:c r="N320" t="str">
        <x:f>IF(COUNTA($A320:$D320)=0,"",IF($H320&lt;&gt;"",$H320,0)*IF($J320&lt;&gt;"",$J320,1))</x:f>
      </x:c>
      <x:c r="O320" t="str">
        <x:f>IF(COUNTA($A320:$D320)=0,"",SWITCH(LOWER($D320),"buy",IFERROR(LOOKUP(2,1/($B$1:B319=B320),$O$1:O319),0)+$E320,"drip",IFERROR(LOOKUP(2,1/($B$1:B319=B320),$O$1:O319),0)+$E320,"sell",IFERROR(LOOKUP(2,1/($B$1:B319=B320),$O$1:O319),0)-$E320,"return_of_capital",IFERROR(LOOKUP(2,1/($B$1:B319=B320),$O$1:O319),0),"split",$E320,IFERROR(LOOKUP(2,1/($B$1:B319=B320),$O$1:O319),0)))</x:f>
      </x:c>
      <x:c r="P320" t="str">
        <x:f>IF(COUNTA($A320:$D320)=0,"",SWITCH(LOWER($D320),"buy",IFERROR(LOOKUP(2,1/($B$1:B319=B320),$P$1:P319),0)+$M320+$N320,"drip",IFERROR(LOOKUP(2,1/($B$1:B319=B320),$P$1:P319),0)+$M320+$N320,"sell",IFERROR(LOOKUP(2,1/($B$1:B319=B320),$P$1:P319),0)-IFERROR(IFERROR(LOOKUP(2,1/($B$1:B319=B320),$P$1:P319),0)/IFERROR(LOOKUP(2,1/($B$1:B319=B320),$O$1:O319),0)*$E320,0),"return_of_capital",IFERROR(LOOKUP(2,1/($B$1:B319=B320),$P$1:P319),0)-ABS($M320),"split",IFERROR(LOOKUP(2,1/($B$1:B319=B320),$P$1:P319),0),IFERROR(LOOKUP(2,1/($B$1:B319=B320),$P$1:P319),0)))</x:f>
      </x:c>
      <x:c r="Q320" t="str">
        <x:f>IFERROR($P320/$O320,"")</x:f>
      </x:c>
      <x:c r="R320" t="str">
        <x:f>IF(LOWER($D320)="sell",$M320-$N320-IFERROR(IFERROR(LOOKUP(2,1/($B$1:B319=B320),$P$1:P319),0)/IFERROR(LOOKUP(2,1/($B$1:B319=B320),$O$1:O319),0)*$E320,0),"")</x:f>
      </x:c>
      <x:c r="S320" t="str">
        <x:f>IF(COUNTA($A320:$D320)=0,"",IF($B320="","Missing symbol",IF($D320="","Missing action",IF(AND(LOWER($D320)="sell",$E320&gt;IFERROR(LOOKUP(2,1/($B$1:B319=B320),$O$1:O319),0)),"Sold more units than available","OK"))))</x:f>
      </x:c>
    </x:row>
    <x:row r="321">
      <x:c r="M321" t="str">
        <x:f>IF(COUNTA($A321:$D321)=0,"",IF($G321&lt;&gt;"",$G321,IF(AND($E321&lt;&gt;"",$F321&lt;&gt;""),$E321*$F321,""))*IF($J321&lt;&gt;"",$J321,1))</x:f>
      </x:c>
      <x:c r="N321" t="str">
        <x:f>IF(COUNTA($A321:$D321)=0,"",IF($H321&lt;&gt;"",$H321,0)*IF($J321&lt;&gt;"",$J321,1))</x:f>
      </x:c>
      <x:c r="O321" t="str">
        <x:f>IF(COUNTA($A321:$D321)=0,"",SWITCH(LOWER($D321),"buy",IFERROR(LOOKUP(2,1/($B$1:B320=B321),$O$1:O320),0)+$E321,"drip",IFERROR(LOOKUP(2,1/($B$1:B320=B321),$O$1:O320),0)+$E321,"sell",IFERROR(LOOKUP(2,1/($B$1:B320=B321),$O$1:O320),0)-$E321,"return_of_capital",IFERROR(LOOKUP(2,1/($B$1:B320=B321),$O$1:O320),0),"split",$E321,IFERROR(LOOKUP(2,1/($B$1:B320=B321),$O$1:O320),0)))</x:f>
      </x:c>
      <x:c r="P321" t="str">
        <x:f>IF(COUNTA($A321:$D321)=0,"",SWITCH(LOWER($D321),"buy",IFERROR(LOOKUP(2,1/($B$1:B320=B321),$P$1:P320),0)+$M321+$N321,"drip",IFERROR(LOOKUP(2,1/($B$1:B320=B321),$P$1:P320),0)+$M321+$N321,"sell",IFERROR(LOOKUP(2,1/($B$1:B320=B321),$P$1:P320),0)-IFERROR(IFERROR(LOOKUP(2,1/($B$1:B320=B321),$P$1:P320),0)/IFERROR(LOOKUP(2,1/($B$1:B320=B321),$O$1:O320),0)*$E321,0),"return_of_capital",IFERROR(LOOKUP(2,1/($B$1:B320=B321),$P$1:P320),0)-ABS($M321),"split",IFERROR(LOOKUP(2,1/($B$1:B320=B321),$P$1:P320),0),IFERROR(LOOKUP(2,1/($B$1:B320=B321),$P$1:P320),0)))</x:f>
      </x:c>
      <x:c r="Q321" t="str">
        <x:f>IFERROR($P321/$O321,"")</x:f>
      </x:c>
      <x:c r="R321" t="str">
        <x:f>IF(LOWER($D321)="sell",$M321-$N321-IFERROR(IFERROR(LOOKUP(2,1/($B$1:B320=B321),$P$1:P320),0)/IFERROR(LOOKUP(2,1/($B$1:B320=B321),$O$1:O320),0)*$E321,0),"")</x:f>
      </x:c>
      <x:c r="S321" t="str">
        <x:f>IF(COUNTA($A321:$D321)=0,"",IF($B321="","Missing symbol",IF($D321="","Missing action",IF(AND(LOWER($D321)="sell",$E321&gt;IFERROR(LOOKUP(2,1/($B$1:B320=B321),$O$1:O320),0)),"Sold more units than available","OK"))))</x:f>
      </x:c>
    </x:row>
    <x:row r="322">
      <x:c r="M322" t="str">
        <x:f>IF(COUNTA($A322:$D322)=0,"",IF($G322&lt;&gt;"",$G322,IF(AND($E322&lt;&gt;"",$F322&lt;&gt;""),$E322*$F322,""))*IF($J322&lt;&gt;"",$J322,1))</x:f>
      </x:c>
      <x:c r="N322" t="str">
        <x:f>IF(COUNTA($A322:$D322)=0,"",IF($H322&lt;&gt;"",$H322,0)*IF($J322&lt;&gt;"",$J322,1))</x:f>
      </x:c>
      <x:c r="O322" t="str">
        <x:f>IF(COUNTA($A322:$D322)=0,"",SWITCH(LOWER($D322),"buy",IFERROR(LOOKUP(2,1/($B$1:B321=B322),$O$1:O321),0)+$E322,"drip",IFERROR(LOOKUP(2,1/($B$1:B321=B322),$O$1:O321),0)+$E322,"sell",IFERROR(LOOKUP(2,1/($B$1:B321=B322),$O$1:O321),0)-$E322,"return_of_capital",IFERROR(LOOKUP(2,1/($B$1:B321=B322),$O$1:O321),0),"split",$E322,IFERROR(LOOKUP(2,1/($B$1:B321=B322),$O$1:O321),0)))</x:f>
      </x:c>
      <x:c r="P322" t="str">
        <x:f>IF(COUNTA($A322:$D322)=0,"",SWITCH(LOWER($D322),"buy",IFERROR(LOOKUP(2,1/($B$1:B321=B322),$P$1:P321),0)+$M322+$N322,"drip",IFERROR(LOOKUP(2,1/($B$1:B321=B322),$P$1:P321),0)+$M322+$N322,"sell",IFERROR(LOOKUP(2,1/($B$1:B321=B322),$P$1:P321),0)-IFERROR(IFERROR(LOOKUP(2,1/($B$1:B321=B322),$P$1:P321),0)/IFERROR(LOOKUP(2,1/($B$1:B321=B322),$O$1:O321),0)*$E322,0),"return_of_capital",IFERROR(LOOKUP(2,1/($B$1:B321=B322),$P$1:P321),0)-ABS($M322),"split",IFERROR(LOOKUP(2,1/($B$1:B321=B322),$P$1:P321),0),IFERROR(LOOKUP(2,1/($B$1:B321=B322),$P$1:P321),0)))</x:f>
      </x:c>
      <x:c r="Q322" t="str">
        <x:f>IFERROR($P322/$O322,"")</x:f>
      </x:c>
      <x:c r="R322" t="str">
        <x:f>IF(LOWER($D322)="sell",$M322-$N322-IFERROR(IFERROR(LOOKUP(2,1/($B$1:B321=B322),$P$1:P321),0)/IFERROR(LOOKUP(2,1/($B$1:B321=B322),$O$1:O321),0)*$E322,0),"")</x:f>
      </x:c>
      <x:c r="S322" t="str">
        <x:f>IF(COUNTA($A322:$D322)=0,"",IF($B322="","Missing symbol",IF($D322="","Missing action",IF(AND(LOWER($D322)="sell",$E322&gt;IFERROR(LOOKUP(2,1/($B$1:B321=B322),$O$1:O321),0)),"Sold more units than available","OK"))))</x:f>
      </x:c>
    </x:row>
    <x:row r="323">
      <x:c r="M323" t="str">
        <x:f>IF(COUNTA($A323:$D323)=0,"",IF($G323&lt;&gt;"",$G323,IF(AND($E323&lt;&gt;"",$F323&lt;&gt;""),$E323*$F323,""))*IF($J323&lt;&gt;"",$J323,1))</x:f>
      </x:c>
      <x:c r="N323" t="str">
        <x:f>IF(COUNTA($A323:$D323)=0,"",IF($H323&lt;&gt;"",$H323,0)*IF($J323&lt;&gt;"",$J323,1))</x:f>
      </x:c>
      <x:c r="O323" t="str">
        <x:f>IF(COUNTA($A323:$D323)=0,"",SWITCH(LOWER($D323),"buy",IFERROR(LOOKUP(2,1/($B$1:B322=B323),$O$1:O322),0)+$E323,"drip",IFERROR(LOOKUP(2,1/($B$1:B322=B323),$O$1:O322),0)+$E323,"sell",IFERROR(LOOKUP(2,1/($B$1:B322=B323),$O$1:O322),0)-$E323,"return_of_capital",IFERROR(LOOKUP(2,1/($B$1:B322=B323),$O$1:O322),0),"split",$E323,IFERROR(LOOKUP(2,1/($B$1:B322=B323),$O$1:O322),0)))</x:f>
      </x:c>
      <x:c r="P323" t="str">
        <x:f>IF(COUNTA($A323:$D323)=0,"",SWITCH(LOWER($D323),"buy",IFERROR(LOOKUP(2,1/($B$1:B322=B323),$P$1:P322),0)+$M323+$N323,"drip",IFERROR(LOOKUP(2,1/($B$1:B322=B323),$P$1:P322),0)+$M323+$N323,"sell",IFERROR(LOOKUP(2,1/($B$1:B322=B323),$P$1:P322),0)-IFERROR(IFERROR(LOOKUP(2,1/($B$1:B322=B323),$P$1:P322),0)/IFERROR(LOOKUP(2,1/($B$1:B322=B323),$O$1:O322),0)*$E323,0),"return_of_capital",IFERROR(LOOKUP(2,1/($B$1:B322=B323),$P$1:P322),0)-ABS($M323),"split",IFERROR(LOOKUP(2,1/($B$1:B322=B323),$P$1:P322),0),IFERROR(LOOKUP(2,1/($B$1:B322=B323),$P$1:P322),0)))</x:f>
      </x:c>
      <x:c r="Q323" t="str">
        <x:f>IFERROR($P323/$O323,"")</x:f>
      </x:c>
      <x:c r="R323" t="str">
        <x:f>IF(LOWER($D323)="sell",$M323-$N323-IFERROR(IFERROR(LOOKUP(2,1/($B$1:B322=B323),$P$1:P322),0)/IFERROR(LOOKUP(2,1/($B$1:B322=B323),$O$1:O322),0)*$E323,0),"")</x:f>
      </x:c>
      <x:c r="S323" t="str">
        <x:f>IF(COUNTA($A323:$D323)=0,"",IF($B323="","Missing symbol",IF($D323="","Missing action",IF(AND(LOWER($D323)="sell",$E323&gt;IFERROR(LOOKUP(2,1/($B$1:B322=B323),$O$1:O322),0)),"Sold more units than available","OK"))))</x:f>
      </x:c>
    </x:row>
    <x:row r="324">
      <x:c r="M324" t="str">
        <x:f>IF(COUNTA($A324:$D324)=0,"",IF($G324&lt;&gt;"",$G324,IF(AND($E324&lt;&gt;"",$F324&lt;&gt;""),$E324*$F324,""))*IF($J324&lt;&gt;"",$J324,1))</x:f>
      </x:c>
      <x:c r="N324" t="str">
        <x:f>IF(COUNTA($A324:$D324)=0,"",IF($H324&lt;&gt;"",$H324,0)*IF($J324&lt;&gt;"",$J324,1))</x:f>
      </x:c>
      <x:c r="O324" t="str">
        <x:f>IF(COUNTA($A324:$D324)=0,"",SWITCH(LOWER($D324),"buy",IFERROR(LOOKUP(2,1/($B$1:B323=B324),$O$1:O323),0)+$E324,"drip",IFERROR(LOOKUP(2,1/($B$1:B323=B324),$O$1:O323),0)+$E324,"sell",IFERROR(LOOKUP(2,1/($B$1:B323=B324),$O$1:O323),0)-$E324,"return_of_capital",IFERROR(LOOKUP(2,1/($B$1:B323=B324),$O$1:O323),0),"split",$E324,IFERROR(LOOKUP(2,1/($B$1:B323=B324),$O$1:O323),0)))</x:f>
      </x:c>
      <x:c r="P324" t="str">
        <x:f>IF(COUNTA($A324:$D324)=0,"",SWITCH(LOWER($D324),"buy",IFERROR(LOOKUP(2,1/($B$1:B323=B324),$P$1:P323),0)+$M324+$N324,"drip",IFERROR(LOOKUP(2,1/($B$1:B323=B324),$P$1:P323),0)+$M324+$N324,"sell",IFERROR(LOOKUP(2,1/($B$1:B323=B324),$P$1:P323),0)-IFERROR(IFERROR(LOOKUP(2,1/($B$1:B323=B324),$P$1:P323),0)/IFERROR(LOOKUP(2,1/($B$1:B323=B324),$O$1:O323),0)*$E324,0),"return_of_capital",IFERROR(LOOKUP(2,1/($B$1:B323=B324),$P$1:P323),0)-ABS($M324),"split",IFERROR(LOOKUP(2,1/($B$1:B323=B324),$P$1:P323),0),IFERROR(LOOKUP(2,1/($B$1:B323=B324),$P$1:P323),0)))</x:f>
      </x:c>
      <x:c r="Q324" t="str">
        <x:f>IFERROR($P324/$O324,"")</x:f>
      </x:c>
      <x:c r="R324" t="str">
        <x:f>IF(LOWER($D324)="sell",$M324-$N324-IFERROR(IFERROR(LOOKUP(2,1/($B$1:B323=B324),$P$1:P323),0)/IFERROR(LOOKUP(2,1/($B$1:B323=B324),$O$1:O323),0)*$E324,0),"")</x:f>
      </x:c>
      <x:c r="S324" t="str">
        <x:f>IF(COUNTA($A324:$D324)=0,"",IF($B324="","Missing symbol",IF($D324="","Missing action",IF(AND(LOWER($D324)="sell",$E324&gt;IFERROR(LOOKUP(2,1/($B$1:B323=B324),$O$1:O323),0)),"Sold more units than available","OK"))))</x:f>
      </x:c>
    </x:row>
    <x:row r="325">
      <x:c r="M325" t="str">
        <x:f>IF(COUNTA($A325:$D325)=0,"",IF($G325&lt;&gt;"",$G325,IF(AND($E325&lt;&gt;"",$F325&lt;&gt;""),$E325*$F325,""))*IF($J325&lt;&gt;"",$J325,1))</x:f>
      </x:c>
      <x:c r="N325" t="str">
        <x:f>IF(COUNTA($A325:$D325)=0,"",IF($H325&lt;&gt;"",$H325,0)*IF($J325&lt;&gt;"",$J325,1))</x:f>
      </x:c>
      <x:c r="O325" t="str">
        <x:f>IF(COUNTA($A325:$D325)=0,"",SWITCH(LOWER($D325),"buy",IFERROR(LOOKUP(2,1/($B$1:B324=B325),$O$1:O324),0)+$E325,"drip",IFERROR(LOOKUP(2,1/($B$1:B324=B325),$O$1:O324),0)+$E325,"sell",IFERROR(LOOKUP(2,1/($B$1:B324=B325),$O$1:O324),0)-$E325,"return_of_capital",IFERROR(LOOKUP(2,1/($B$1:B324=B325),$O$1:O324),0),"split",$E325,IFERROR(LOOKUP(2,1/($B$1:B324=B325),$O$1:O324),0)))</x:f>
      </x:c>
      <x:c r="P325" t="str">
        <x:f>IF(COUNTA($A325:$D325)=0,"",SWITCH(LOWER($D325),"buy",IFERROR(LOOKUP(2,1/($B$1:B324=B325),$P$1:P324),0)+$M325+$N325,"drip",IFERROR(LOOKUP(2,1/($B$1:B324=B325),$P$1:P324),0)+$M325+$N325,"sell",IFERROR(LOOKUP(2,1/($B$1:B324=B325),$P$1:P324),0)-IFERROR(IFERROR(LOOKUP(2,1/($B$1:B324=B325),$P$1:P324),0)/IFERROR(LOOKUP(2,1/($B$1:B324=B325),$O$1:O324),0)*$E325,0),"return_of_capital",IFERROR(LOOKUP(2,1/($B$1:B324=B325),$P$1:P324),0)-ABS($M325),"split",IFERROR(LOOKUP(2,1/($B$1:B324=B325),$P$1:P324),0),IFERROR(LOOKUP(2,1/($B$1:B324=B325),$P$1:P324),0)))</x:f>
      </x:c>
      <x:c r="Q325" t="str">
        <x:f>IFERROR($P325/$O325,"")</x:f>
      </x:c>
      <x:c r="R325" t="str">
        <x:f>IF(LOWER($D325)="sell",$M325-$N325-IFERROR(IFERROR(LOOKUP(2,1/($B$1:B324=B325),$P$1:P324),0)/IFERROR(LOOKUP(2,1/($B$1:B324=B325),$O$1:O324),0)*$E325,0),"")</x:f>
      </x:c>
      <x:c r="S325" t="str">
        <x:f>IF(COUNTA($A325:$D325)=0,"",IF($B325="","Missing symbol",IF($D325="","Missing action",IF(AND(LOWER($D325)="sell",$E325&gt;IFERROR(LOOKUP(2,1/($B$1:B324=B325),$O$1:O324),0)),"Sold more units than available","OK"))))</x:f>
      </x:c>
    </x:row>
    <x:row r="326">
      <x:c r="M326" t="str">
        <x:f>IF(COUNTA($A326:$D326)=0,"",IF($G326&lt;&gt;"",$G326,IF(AND($E326&lt;&gt;"",$F326&lt;&gt;""),$E326*$F326,""))*IF($J326&lt;&gt;"",$J326,1))</x:f>
      </x:c>
      <x:c r="N326" t="str">
        <x:f>IF(COUNTA($A326:$D326)=0,"",IF($H326&lt;&gt;"",$H326,0)*IF($J326&lt;&gt;"",$J326,1))</x:f>
      </x:c>
      <x:c r="O326" t="str">
        <x:f>IF(COUNTA($A326:$D326)=0,"",SWITCH(LOWER($D326),"buy",IFERROR(LOOKUP(2,1/($B$1:B325=B326),$O$1:O325),0)+$E326,"drip",IFERROR(LOOKUP(2,1/($B$1:B325=B326),$O$1:O325),0)+$E326,"sell",IFERROR(LOOKUP(2,1/($B$1:B325=B326),$O$1:O325),0)-$E326,"return_of_capital",IFERROR(LOOKUP(2,1/($B$1:B325=B326),$O$1:O325),0),"split",$E326,IFERROR(LOOKUP(2,1/($B$1:B325=B326),$O$1:O325),0)))</x:f>
      </x:c>
      <x:c r="P326" t="str">
        <x:f>IF(COUNTA($A326:$D326)=0,"",SWITCH(LOWER($D326),"buy",IFERROR(LOOKUP(2,1/($B$1:B325=B326),$P$1:P325),0)+$M326+$N326,"drip",IFERROR(LOOKUP(2,1/($B$1:B325=B326),$P$1:P325),0)+$M326+$N326,"sell",IFERROR(LOOKUP(2,1/($B$1:B325=B326),$P$1:P325),0)-IFERROR(IFERROR(LOOKUP(2,1/($B$1:B325=B326),$P$1:P325),0)/IFERROR(LOOKUP(2,1/($B$1:B325=B326),$O$1:O325),0)*$E326,0),"return_of_capital",IFERROR(LOOKUP(2,1/($B$1:B325=B326),$P$1:P325),0)-ABS($M326),"split",IFERROR(LOOKUP(2,1/($B$1:B325=B326),$P$1:P325),0),IFERROR(LOOKUP(2,1/($B$1:B325=B326),$P$1:P325),0)))</x:f>
      </x:c>
      <x:c r="Q326" t="str">
        <x:f>IFERROR($P326/$O326,"")</x:f>
      </x:c>
      <x:c r="R326" t="str">
        <x:f>IF(LOWER($D326)="sell",$M326-$N326-IFERROR(IFERROR(LOOKUP(2,1/($B$1:B325=B326),$P$1:P325),0)/IFERROR(LOOKUP(2,1/($B$1:B325=B326),$O$1:O325),0)*$E326,0),"")</x:f>
      </x:c>
      <x:c r="S326" t="str">
        <x:f>IF(COUNTA($A326:$D326)=0,"",IF($B326="","Missing symbol",IF($D326="","Missing action",IF(AND(LOWER($D326)="sell",$E326&gt;IFERROR(LOOKUP(2,1/($B$1:B325=B326),$O$1:O325),0)),"Sold more units than available","OK"))))</x:f>
      </x:c>
    </x:row>
    <x:row r="327">
      <x:c r="M327" t="str">
        <x:f>IF(COUNTA($A327:$D327)=0,"",IF($G327&lt;&gt;"",$G327,IF(AND($E327&lt;&gt;"",$F327&lt;&gt;""),$E327*$F327,""))*IF($J327&lt;&gt;"",$J327,1))</x:f>
      </x:c>
      <x:c r="N327" t="str">
        <x:f>IF(COUNTA($A327:$D327)=0,"",IF($H327&lt;&gt;"",$H327,0)*IF($J327&lt;&gt;"",$J327,1))</x:f>
      </x:c>
      <x:c r="O327" t="str">
        <x:f>IF(COUNTA($A327:$D327)=0,"",SWITCH(LOWER($D327),"buy",IFERROR(LOOKUP(2,1/($B$1:B326=B327),$O$1:O326),0)+$E327,"drip",IFERROR(LOOKUP(2,1/($B$1:B326=B327),$O$1:O326),0)+$E327,"sell",IFERROR(LOOKUP(2,1/($B$1:B326=B327),$O$1:O326),0)-$E327,"return_of_capital",IFERROR(LOOKUP(2,1/($B$1:B326=B327),$O$1:O326),0),"split",$E327,IFERROR(LOOKUP(2,1/($B$1:B326=B327),$O$1:O326),0)))</x:f>
      </x:c>
      <x:c r="P327" t="str">
        <x:f>IF(COUNTA($A327:$D327)=0,"",SWITCH(LOWER($D327),"buy",IFERROR(LOOKUP(2,1/($B$1:B326=B327),$P$1:P326),0)+$M327+$N327,"drip",IFERROR(LOOKUP(2,1/($B$1:B326=B327),$P$1:P326),0)+$M327+$N327,"sell",IFERROR(LOOKUP(2,1/($B$1:B326=B327),$P$1:P326),0)-IFERROR(IFERROR(LOOKUP(2,1/($B$1:B326=B327),$P$1:P326),0)/IFERROR(LOOKUP(2,1/($B$1:B326=B327),$O$1:O326),0)*$E327,0),"return_of_capital",IFERROR(LOOKUP(2,1/($B$1:B326=B327),$P$1:P326),0)-ABS($M327),"split",IFERROR(LOOKUP(2,1/($B$1:B326=B327),$P$1:P326),0),IFERROR(LOOKUP(2,1/($B$1:B326=B327),$P$1:P326),0)))</x:f>
      </x:c>
      <x:c r="Q327" t="str">
        <x:f>IFERROR($P327/$O327,"")</x:f>
      </x:c>
      <x:c r="R327" t="str">
        <x:f>IF(LOWER($D327)="sell",$M327-$N327-IFERROR(IFERROR(LOOKUP(2,1/($B$1:B326=B327),$P$1:P326),0)/IFERROR(LOOKUP(2,1/($B$1:B326=B327),$O$1:O326),0)*$E327,0),"")</x:f>
      </x:c>
      <x:c r="S327" t="str">
        <x:f>IF(COUNTA($A327:$D327)=0,"",IF($B327="","Missing symbol",IF($D327="","Missing action",IF(AND(LOWER($D327)="sell",$E327&gt;IFERROR(LOOKUP(2,1/($B$1:B326=B327),$O$1:O326),0)),"Sold more units than available","OK"))))</x:f>
      </x:c>
    </x:row>
    <x:row r="328">
      <x:c r="M328" t="str">
        <x:f>IF(COUNTA($A328:$D328)=0,"",IF($G328&lt;&gt;"",$G328,IF(AND($E328&lt;&gt;"",$F328&lt;&gt;""),$E328*$F328,""))*IF($J328&lt;&gt;"",$J328,1))</x:f>
      </x:c>
      <x:c r="N328" t="str">
        <x:f>IF(COUNTA($A328:$D328)=0,"",IF($H328&lt;&gt;"",$H328,0)*IF($J328&lt;&gt;"",$J328,1))</x:f>
      </x:c>
      <x:c r="O328" t="str">
        <x:f>IF(COUNTA($A328:$D328)=0,"",SWITCH(LOWER($D328),"buy",IFERROR(LOOKUP(2,1/($B$1:B327=B328),$O$1:O327),0)+$E328,"drip",IFERROR(LOOKUP(2,1/($B$1:B327=B328),$O$1:O327),0)+$E328,"sell",IFERROR(LOOKUP(2,1/($B$1:B327=B328),$O$1:O327),0)-$E328,"return_of_capital",IFERROR(LOOKUP(2,1/($B$1:B327=B328),$O$1:O327),0),"split",$E328,IFERROR(LOOKUP(2,1/($B$1:B327=B328),$O$1:O327),0)))</x:f>
      </x:c>
      <x:c r="P328" t="str">
        <x:f>IF(COUNTA($A328:$D328)=0,"",SWITCH(LOWER($D328),"buy",IFERROR(LOOKUP(2,1/($B$1:B327=B328),$P$1:P327),0)+$M328+$N328,"drip",IFERROR(LOOKUP(2,1/($B$1:B327=B328),$P$1:P327),0)+$M328+$N328,"sell",IFERROR(LOOKUP(2,1/($B$1:B327=B328),$P$1:P327),0)-IFERROR(IFERROR(LOOKUP(2,1/($B$1:B327=B328),$P$1:P327),0)/IFERROR(LOOKUP(2,1/($B$1:B327=B328),$O$1:O327),0)*$E328,0),"return_of_capital",IFERROR(LOOKUP(2,1/($B$1:B327=B328),$P$1:P327),0)-ABS($M328),"split",IFERROR(LOOKUP(2,1/($B$1:B327=B328),$P$1:P327),0),IFERROR(LOOKUP(2,1/($B$1:B327=B328),$P$1:P327),0)))</x:f>
      </x:c>
      <x:c r="Q328" t="str">
        <x:f>IFERROR($P328/$O328,"")</x:f>
      </x:c>
      <x:c r="R328" t="str">
        <x:f>IF(LOWER($D328)="sell",$M328-$N328-IFERROR(IFERROR(LOOKUP(2,1/($B$1:B327=B328),$P$1:P327),0)/IFERROR(LOOKUP(2,1/($B$1:B327=B328),$O$1:O327),0)*$E328,0),"")</x:f>
      </x:c>
      <x:c r="S328" t="str">
        <x:f>IF(COUNTA($A328:$D328)=0,"",IF($B328="","Missing symbol",IF($D328="","Missing action",IF(AND(LOWER($D328)="sell",$E328&gt;IFERROR(LOOKUP(2,1/($B$1:B327=B328),$O$1:O327),0)),"Sold more units than available","OK"))))</x:f>
      </x:c>
    </x:row>
    <x:row r="329">
      <x:c r="M329" t="str">
        <x:f>IF(COUNTA($A329:$D329)=0,"",IF($G329&lt;&gt;"",$G329,IF(AND($E329&lt;&gt;"",$F329&lt;&gt;""),$E329*$F329,""))*IF($J329&lt;&gt;"",$J329,1))</x:f>
      </x:c>
      <x:c r="N329" t="str">
        <x:f>IF(COUNTA($A329:$D329)=0,"",IF($H329&lt;&gt;"",$H329,0)*IF($J329&lt;&gt;"",$J329,1))</x:f>
      </x:c>
      <x:c r="O329" t="str">
        <x:f>IF(COUNTA($A329:$D329)=0,"",SWITCH(LOWER($D329),"buy",IFERROR(LOOKUP(2,1/($B$1:B328=B329),$O$1:O328),0)+$E329,"drip",IFERROR(LOOKUP(2,1/($B$1:B328=B329),$O$1:O328),0)+$E329,"sell",IFERROR(LOOKUP(2,1/($B$1:B328=B329),$O$1:O328),0)-$E329,"return_of_capital",IFERROR(LOOKUP(2,1/($B$1:B328=B329),$O$1:O328),0),"split",$E329,IFERROR(LOOKUP(2,1/($B$1:B328=B329),$O$1:O328),0)))</x:f>
      </x:c>
      <x:c r="P329" t="str">
        <x:f>IF(COUNTA($A329:$D329)=0,"",SWITCH(LOWER($D329),"buy",IFERROR(LOOKUP(2,1/($B$1:B328=B329),$P$1:P328),0)+$M329+$N329,"drip",IFERROR(LOOKUP(2,1/($B$1:B328=B329),$P$1:P328),0)+$M329+$N329,"sell",IFERROR(LOOKUP(2,1/($B$1:B328=B329),$P$1:P328),0)-IFERROR(IFERROR(LOOKUP(2,1/($B$1:B328=B329),$P$1:P328),0)/IFERROR(LOOKUP(2,1/($B$1:B328=B329),$O$1:O328),0)*$E329,0),"return_of_capital",IFERROR(LOOKUP(2,1/($B$1:B328=B329),$P$1:P328),0)-ABS($M329),"split",IFERROR(LOOKUP(2,1/($B$1:B328=B329),$P$1:P328),0),IFERROR(LOOKUP(2,1/($B$1:B328=B329),$P$1:P328),0)))</x:f>
      </x:c>
      <x:c r="Q329" t="str">
        <x:f>IFERROR($P329/$O329,"")</x:f>
      </x:c>
      <x:c r="R329" t="str">
        <x:f>IF(LOWER($D329)="sell",$M329-$N329-IFERROR(IFERROR(LOOKUP(2,1/($B$1:B328=B329),$P$1:P328),0)/IFERROR(LOOKUP(2,1/($B$1:B328=B329),$O$1:O328),0)*$E329,0),"")</x:f>
      </x:c>
      <x:c r="S329" t="str">
        <x:f>IF(COUNTA($A329:$D329)=0,"",IF($B329="","Missing symbol",IF($D329="","Missing action",IF(AND(LOWER($D329)="sell",$E329&gt;IFERROR(LOOKUP(2,1/($B$1:B328=B329),$O$1:O328),0)),"Sold more units than available","OK"))))</x:f>
      </x:c>
    </x:row>
    <x:row r="330">
      <x:c r="M330" t="str">
        <x:f>IF(COUNTA($A330:$D330)=0,"",IF($G330&lt;&gt;"",$G330,IF(AND($E330&lt;&gt;"",$F330&lt;&gt;""),$E330*$F330,""))*IF($J330&lt;&gt;"",$J330,1))</x:f>
      </x:c>
      <x:c r="N330" t="str">
        <x:f>IF(COUNTA($A330:$D330)=0,"",IF($H330&lt;&gt;"",$H330,0)*IF($J330&lt;&gt;"",$J330,1))</x:f>
      </x:c>
      <x:c r="O330" t="str">
        <x:f>IF(COUNTA($A330:$D330)=0,"",SWITCH(LOWER($D330),"buy",IFERROR(LOOKUP(2,1/($B$1:B329=B330),$O$1:O329),0)+$E330,"drip",IFERROR(LOOKUP(2,1/($B$1:B329=B330),$O$1:O329),0)+$E330,"sell",IFERROR(LOOKUP(2,1/($B$1:B329=B330),$O$1:O329),0)-$E330,"return_of_capital",IFERROR(LOOKUP(2,1/($B$1:B329=B330),$O$1:O329),0),"split",$E330,IFERROR(LOOKUP(2,1/($B$1:B329=B330),$O$1:O329),0)))</x:f>
      </x:c>
      <x:c r="P330" t="str">
        <x:f>IF(COUNTA($A330:$D330)=0,"",SWITCH(LOWER($D330),"buy",IFERROR(LOOKUP(2,1/($B$1:B329=B330),$P$1:P329),0)+$M330+$N330,"drip",IFERROR(LOOKUP(2,1/($B$1:B329=B330),$P$1:P329),0)+$M330+$N330,"sell",IFERROR(LOOKUP(2,1/($B$1:B329=B330),$P$1:P329),0)-IFERROR(IFERROR(LOOKUP(2,1/($B$1:B329=B330),$P$1:P329),0)/IFERROR(LOOKUP(2,1/($B$1:B329=B330),$O$1:O329),0)*$E330,0),"return_of_capital",IFERROR(LOOKUP(2,1/($B$1:B329=B330),$P$1:P329),0)-ABS($M330),"split",IFERROR(LOOKUP(2,1/($B$1:B329=B330),$P$1:P329),0),IFERROR(LOOKUP(2,1/($B$1:B329=B330),$P$1:P329),0)))</x:f>
      </x:c>
      <x:c r="Q330" t="str">
        <x:f>IFERROR($P330/$O330,"")</x:f>
      </x:c>
      <x:c r="R330" t="str">
        <x:f>IF(LOWER($D330)="sell",$M330-$N330-IFERROR(IFERROR(LOOKUP(2,1/($B$1:B329=B330),$P$1:P329),0)/IFERROR(LOOKUP(2,1/($B$1:B329=B330),$O$1:O329),0)*$E330,0),"")</x:f>
      </x:c>
      <x:c r="S330" t="str">
        <x:f>IF(COUNTA($A330:$D330)=0,"",IF($B330="","Missing symbol",IF($D330="","Missing action",IF(AND(LOWER($D330)="sell",$E330&gt;IFERROR(LOOKUP(2,1/($B$1:B329=B330),$O$1:O329),0)),"Sold more units than available","OK"))))</x:f>
      </x:c>
    </x:row>
    <x:row r="331">
      <x:c r="M331" t="str">
        <x:f>IF(COUNTA($A331:$D331)=0,"",IF($G331&lt;&gt;"",$G331,IF(AND($E331&lt;&gt;"",$F331&lt;&gt;""),$E331*$F331,""))*IF($J331&lt;&gt;"",$J331,1))</x:f>
      </x:c>
      <x:c r="N331" t="str">
        <x:f>IF(COUNTA($A331:$D331)=0,"",IF($H331&lt;&gt;"",$H331,0)*IF($J331&lt;&gt;"",$J331,1))</x:f>
      </x:c>
      <x:c r="O331" t="str">
        <x:f>IF(COUNTA($A331:$D331)=0,"",SWITCH(LOWER($D331),"buy",IFERROR(LOOKUP(2,1/($B$1:B330=B331),$O$1:O330),0)+$E331,"drip",IFERROR(LOOKUP(2,1/($B$1:B330=B331),$O$1:O330),0)+$E331,"sell",IFERROR(LOOKUP(2,1/($B$1:B330=B331),$O$1:O330),0)-$E331,"return_of_capital",IFERROR(LOOKUP(2,1/($B$1:B330=B331),$O$1:O330),0),"split",$E331,IFERROR(LOOKUP(2,1/($B$1:B330=B331),$O$1:O330),0)))</x:f>
      </x:c>
      <x:c r="P331" t="str">
        <x:f>IF(COUNTA($A331:$D331)=0,"",SWITCH(LOWER($D331),"buy",IFERROR(LOOKUP(2,1/($B$1:B330=B331),$P$1:P330),0)+$M331+$N331,"drip",IFERROR(LOOKUP(2,1/($B$1:B330=B331),$P$1:P330),0)+$M331+$N331,"sell",IFERROR(LOOKUP(2,1/($B$1:B330=B331),$P$1:P330),0)-IFERROR(IFERROR(LOOKUP(2,1/($B$1:B330=B331),$P$1:P330),0)/IFERROR(LOOKUP(2,1/($B$1:B330=B331),$O$1:O330),0)*$E331,0),"return_of_capital",IFERROR(LOOKUP(2,1/($B$1:B330=B331),$P$1:P330),0)-ABS($M331),"split",IFERROR(LOOKUP(2,1/($B$1:B330=B331),$P$1:P330),0),IFERROR(LOOKUP(2,1/($B$1:B330=B331),$P$1:P330),0)))</x:f>
      </x:c>
      <x:c r="Q331" t="str">
        <x:f>IFERROR($P331/$O331,"")</x:f>
      </x:c>
      <x:c r="R331" t="str">
        <x:f>IF(LOWER($D331)="sell",$M331-$N331-IFERROR(IFERROR(LOOKUP(2,1/($B$1:B330=B331),$P$1:P330),0)/IFERROR(LOOKUP(2,1/($B$1:B330=B331),$O$1:O330),0)*$E331,0),"")</x:f>
      </x:c>
      <x:c r="S331" t="str">
        <x:f>IF(COUNTA($A331:$D331)=0,"",IF($B331="","Missing symbol",IF($D331="","Missing action",IF(AND(LOWER($D331)="sell",$E331&gt;IFERROR(LOOKUP(2,1/($B$1:B330=B331),$O$1:O330),0)),"Sold more units than available","OK"))))</x:f>
      </x:c>
    </x:row>
    <x:row r="332">
      <x:c r="M332" t="str">
        <x:f>IF(COUNTA($A332:$D332)=0,"",IF($G332&lt;&gt;"",$G332,IF(AND($E332&lt;&gt;"",$F332&lt;&gt;""),$E332*$F332,""))*IF($J332&lt;&gt;"",$J332,1))</x:f>
      </x:c>
      <x:c r="N332" t="str">
        <x:f>IF(COUNTA($A332:$D332)=0,"",IF($H332&lt;&gt;"",$H332,0)*IF($J332&lt;&gt;"",$J332,1))</x:f>
      </x:c>
      <x:c r="O332" t="str">
        <x:f>IF(COUNTA($A332:$D332)=0,"",SWITCH(LOWER($D332),"buy",IFERROR(LOOKUP(2,1/($B$1:B331=B332),$O$1:O331),0)+$E332,"drip",IFERROR(LOOKUP(2,1/($B$1:B331=B332),$O$1:O331),0)+$E332,"sell",IFERROR(LOOKUP(2,1/($B$1:B331=B332),$O$1:O331),0)-$E332,"return_of_capital",IFERROR(LOOKUP(2,1/($B$1:B331=B332),$O$1:O331),0),"split",$E332,IFERROR(LOOKUP(2,1/($B$1:B331=B332),$O$1:O331),0)))</x:f>
      </x:c>
      <x:c r="P332" t="str">
        <x:f>IF(COUNTA($A332:$D332)=0,"",SWITCH(LOWER($D332),"buy",IFERROR(LOOKUP(2,1/($B$1:B331=B332),$P$1:P331),0)+$M332+$N332,"drip",IFERROR(LOOKUP(2,1/($B$1:B331=B332),$P$1:P331),0)+$M332+$N332,"sell",IFERROR(LOOKUP(2,1/($B$1:B331=B332),$P$1:P331),0)-IFERROR(IFERROR(LOOKUP(2,1/($B$1:B331=B332),$P$1:P331),0)/IFERROR(LOOKUP(2,1/($B$1:B331=B332),$O$1:O331),0)*$E332,0),"return_of_capital",IFERROR(LOOKUP(2,1/($B$1:B331=B332),$P$1:P331),0)-ABS($M332),"split",IFERROR(LOOKUP(2,1/($B$1:B331=B332),$P$1:P331),0),IFERROR(LOOKUP(2,1/($B$1:B331=B332),$P$1:P331),0)))</x:f>
      </x:c>
      <x:c r="Q332" t="str">
        <x:f>IFERROR($P332/$O332,"")</x:f>
      </x:c>
      <x:c r="R332" t="str">
        <x:f>IF(LOWER($D332)="sell",$M332-$N332-IFERROR(IFERROR(LOOKUP(2,1/($B$1:B331=B332),$P$1:P331),0)/IFERROR(LOOKUP(2,1/($B$1:B331=B332),$O$1:O331),0)*$E332,0),"")</x:f>
      </x:c>
      <x:c r="S332" t="str">
        <x:f>IF(COUNTA($A332:$D332)=0,"",IF($B332="","Missing symbol",IF($D332="","Missing action",IF(AND(LOWER($D332)="sell",$E332&gt;IFERROR(LOOKUP(2,1/($B$1:B331=B332),$O$1:O331),0)),"Sold more units than available","OK"))))</x:f>
      </x:c>
    </x:row>
    <x:row r="333">
      <x:c r="M333" t="str">
        <x:f>IF(COUNTA($A333:$D333)=0,"",IF($G333&lt;&gt;"",$G333,IF(AND($E333&lt;&gt;"",$F333&lt;&gt;""),$E333*$F333,""))*IF($J333&lt;&gt;"",$J333,1))</x:f>
      </x:c>
      <x:c r="N333" t="str">
        <x:f>IF(COUNTA($A333:$D333)=0,"",IF($H333&lt;&gt;"",$H333,0)*IF($J333&lt;&gt;"",$J333,1))</x:f>
      </x:c>
      <x:c r="O333" t="str">
        <x:f>IF(COUNTA($A333:$D333)=0,"",SWITCH(LOWER($D333),"buy",IFERROR(LOOKUP(2,1/($B$1:B332=B333),$O$1:O332),0)+$E333,"drip",IFERROR(LOOKUP(2,1/($B$1:B332=B333),$O$1:O332),0)+$E333,"sell",IFERROR(LOOKUP(2,1/($B$1:B332=B333),$O$1:O332),0)-$E333,"return_of_capital",IFERROR(LOOKUP(2,1/($B$1:B332=B333),$O$1:O332),0),"split",$E333,IFERROR(LOOKUP(2,1/($B$1:B332=B333),$O$1:O332),0)))</x:f>
      </x:c>
      <x:c r="P333" t="str">
        <x:f>IF(COUNTA($A333:$D333)=0,"",SWITCH(LOWER($D333),"buy",IFERROR(LOOKUP(2,1/($B$1:B332=B333),$P$1:P332),0)+$M333+$N333,"drip",IFERROR(LOOKUP(2,1/($B$1:B332=B333),$P$1:P332),0)+$M333+$N333,"sell",IFERROR(LOOKUP(2,1/($B$1:B332=B333),$P$1:P332),0)-IFERROR(IFERROR(LOOKUP(2,1/($B$1:B332=B333),$P$1:P332),0)/IFERROR(LOOKUP(2,1/($B$1:B332=B333),$O$1:O332),0)*$E333,0),"return_of_capital",IFERROR(LOOKUP(2,1/($B$1:B332=B333),$P$1:P332),0)-ABS($M333),"split",IFERROR(LOOKUP(2,1/($B$1:B332=B333),$P$1:P332),0),IFERROR(LOOKUP(2,1/($B$1:B332=B333),$P$1:P332),0)))</x:f>
      </x:c>
      <x:c r="Q333" t="str">
        <x:f>IFERROR($P333/$O333,"")</x:f>
      </x:c>
      <x:c r="R333" t="str">
        <x:f>IF(LOWER($D333)="sell",$M333-$N333-IFERROR(IFERROR(LOOKUP(2,1/($B$1:B332=B333),$P$1:P332),0)/IFERROR(LOOKUP(2,1/($B$1:B332=B333),$O$1:O332),0)*$E333,0),"")</x:f>
      </x:c>
      <x:c r="S333" t="str">
        <x:f>IF(COUNTA($A333:$D333)=0,"",IF($B333="","Missing symbol",IF($D333="","Missing action",IF(AND(LOWER($D333)="sell",$E333&gt;IFERROR(LOOKUP(2,1/($B$1:B332=B333),$O$1:O332),0)),"Sold more units than available","OK"))))</x:f>
      </x:c>
    </x:row>
    <x:row r="334">
      <x:c r="M334" t="str">
        <x:f>IF(COUNTA($A334:$D334)=0,"",IF($G334&lt;&gt;"",$G334,IF(AND($E334&lt;&gt;"",$F334&lt;&gt;""),$E334*$F334,""))*IF($J334&lt;&gt;"",$J334,1))</x:f>
      </x:c>
      <x:c r="N334" t="str">
        <x:f>IF(COUNTA($A334:$D334)=0,"",IF($H334&lt;&gt;"",$H334,0)*IF($J334&lt;&gt;"",$J334,1))</x:f>
      </x:c>
      <x:c r="O334" t="str">
        <x:f>IF(COUNTA($A334:$D334)=0,"",SWITCH(LOWER($D334),"buy",IFERROR(LOOKUP(2,1/($B$1:B333=B334),$O$1:O333),0)+$E334,"drip",IFERROR(LOOKUP(2,1/($B$1:B333=B334),$O$1:O333),0)+$E334,"sell",IFERROR(LOOKUP(2,1/($B$1:B333=B334),$O$1:O333),0)-$E334,"return_of_capital",IFERROR(LOOKUP(2,1/($B$1:B333=B334),$O$1:O333),0),"split",$E334,IFERROR(LOOKUP(2,1/($B$1:B333=B334),$O$1:O333),0)))</x:f>
      </x:c>
      <x:c r="P334" t="str">
        <x:f>IF(COUNTA($A334:$D334)=0,"",SWITCH(LOWER($D334),"buy",IFERROR(LOOKUP(2,1/($B$1:B333=B334),$P$1:P333),0)+$M334+$N334,"drip",IFERROR(LOOKUP(2,1/($B$1:B333=B334),$P$1:P333),0)+$M334+$N334,"sell",IFERROR(LOOKUP(2,1/($B$1:B333=B334),$P$1:P333),0)-IFERROR(IFERROR(LOOKUP(2,1/($B$1:B333=B334),$P$1:P333),0)/IFERROR(LOOKUP(2,1/($B$1:B333=B334),$O$1:O333),0)*$E334,0),"return_of_capital",IFERROR(LOOKUP(2,1/($B$1:B333=B334),$P$1:P333),0)-ABS($M334),"split",IFERROR(LOOKUP(2,1/($B$1:B333=B334),$P$1:P333),0),IFERROR(LOOKUP(2,1/($B$1:B333=B334),$P$1:P333),0)))</x:f>
      </x:c>
      <x:c r="Q334" t="str">
        <x:f>IFERROR($P334/$O334,"")</x:f>
      </x:c>
      <x:c r="R334" t="str">
        <x:f>IF(LOWER($D334)="sell",$M334-$N334-IFERROR(IFERROR(LOOKUP(2,1/($B$1:B333=B334),$P$1:P333),0)/IFERROR(LOOKUP(2,1/($B$1:B333=B334),$O$1:O333),0)*$E334,0),"")</x:f>
      </x:c>
      <x:c r="S334" t="str">
        <x:f>IF(COUNTA($A334:$D334)=0,"",IF($B334="","Missing symbol",IF($D334="","Missing action",IF(AND(LOWER($D334)="sell",$E334&gt;IFERROR(LOOKUP(2,1/($B$1:B333=B334),$O$1:O333),0)),"Sold more units than available","OK"))))</x:f>
      </x:c>
    </x:row>
    <x:row r="335">
      <x:c r="M335" t="str">
        <x:f>IF(COUNTA($A335:$D335)=0,"",IF($G335&lt;&gt;"",$G335,IF(AND($E335&lt;&gt;"",$F335&lt;&gt;""),$E335*$F335,""))*IF($J335&lt;&gt;"",$J335,1))</x:f>
      </x:c>
      <x:c r="N335" t="str">
        <x:f>IF(COUNTA($A335:$D335)=0,"",IF($H335&lt;&gt;"",$H335,0)*IF($J335&lt;&gt;"",$J335,1))</x:f>
      </x:c>
      <x:c r="O335" t="str">
        <x:f>IF(COUNTA($A335:$D335)=0,"",SWITCH(LOWER($D335),"buy",IFERROR(LOOKUP(2,1/($B$1:B334=B335),$O$1:O334),0)+$E335,"drip",IFERROR(LOOKUP(2,1/($B$1:B334=B335),$O$1:O334),0)+$E335,"sell",IFERROR(LOOKUP(2,1/($B$1:B334=B335),$O$1:O334),0)-$E335,"return_of_capital",IFERROR(LOOKUP(2,1/($B$1:B334=B335),$O$1:O334),0),"split",$E335,IFERROR(LOOKUP(2,1/($B$1:B334=B335),$O$1:O334),0)))</x:f>
      </x:c>
      <x:c r="P335" t="str">
        <x:f>IF(COUNTA($A335:$D335)=0,"",SWITCH(LOWER($D335),"buy",IFERROR(LOOKUP(2,1/($B$1:B334=B335),$P$1:P334),0)+$M335+$N335,"drip",IFERROR(LOOKUP(2,1/($B$1:B334=B335),$P$1:P334),0)+$M335+$N335,"sell",IFERROR(LOOKUP(2,1/($B$1:B334=B335),$P$1:P334),0)-IFERROR(IFERROR(LOOKUP(2,1/($B$1:B334=B335),$P$1:P334),0)/IFERROR(LOOKUP(2,1/($B$1:B334=B335),$O$1:O334),0)*$E335,0),"return_of_capital",IFERROR(LOOKUP(2,1/($B$1:B334=B335),$P$1:P334),0)-ABS($M335),"split",IFERROR(LOOKUP(2,1/($B$1:B334=B335),$P$1:P334),0),IFERROR(LOOKUP(2,1/($B$1:B334=B335),$P$1:P334),0)))</x:f>
      </x:c>
      <x:c r="Q335" t="str">
        <x:f>IFERROR($P335/$O335,"")</x:f>
      </x:c>
      <x:c r="R335" t="str">
        <x:f>IF(LOWER($D335)="sell",$M335-$N335-IFERROR(IFERROR(LOOKUP(2,1/($B$1:B334=B335),$P$1:P334),0)/IFERROR(LOOKUP(2,1/($B$1:B334=B335),$O$1:O334),0)*$E335,0),"")</x:f>
      </x:c>
      <x:c r="S335" t="str">
        <x:f>IF(COUNTA($A335:$D335)=0,"",IF($B335="","Missing symbol",IF($D335="","Missing action",IF(AND(LOWER($D335)="sell",$E335&gt;IFERROR(LOOKUP(2,1/($B$1:B334=B335),$O$1:O334),0)),"Sold more units than available","OK"))))</x:f>
      </x:c>
    </x:row>
    <x:row r="336">
      <x:c r="M336" t="str">
        <x:f>IF(COUNTA($A336:$D336)=0,"",IF($G336&lt;&gt;"",$G336,IF(AND($E336&lt;&gt;"",$F336&lt;&gt;""),$E336*$F336,""))*IF($J336&lt;&gt;"",$J336,1))</x:f>
      </x:c>
      <x:c r="N336" t="str">
        <x:f>IF(COUNTA($A336:$D336)=0,"",IF($H336&lt;&gt;"",$H336,0)*IF($J336&lt;&gt;"",$J336,1))</x:f>
      </x:c>
      <x:c r="O336" t="str">
        <x:f>IF(COUNTA($A336:$D336)=0,"",SWITCH(LOWER($D336),"buy",IFERROR(LOOKUP(2,1/($B$1:B335=B336),$O$1:O335),0)+$E336,"drip",IFERROR(LOOKUP(2,1/($B$1:B335=B336),$O$1:O335),0)+$E336,"sell",IFERROR(LOOKUP(2,1/($B$1:B335=B336),$O$1:O335),0)-$E336,"return_of_capital",IFERROR(LOOKUP(2,1/($B$1:B335=B336),$O$1:O335),0),"split",$E336,IFERROR(LOOKUP(2,1/($B$1:B335=B336),$O$1:O335),0)))</x:f>
      </x:c>
      <x:c r="P336" t="str">
        <x:f>IF(COUNTA($A336:$D336)=0,"",SWITCH(LOWER($D336),"buy",IFERROR(LOOKUP(2,1/($B$1:B335=B336),$P$1:P335),0)+$M336+$N336,"drip",IFERROR(LOOKUP(2,1/($B$1:B335=B336),$P$1:P335),0)+$M336+$N336,"sell",IFERROR(LOOKUP(2,1/($B$1:B335=B336),$P$1:P335),0)-IFERROR(IFERROR(LOOKUP(2,1/($B$1:B335=B336),$P$1:P335),0)/IFERROR(LOOKUP(2,1/($B$1:B335=B336),$O$1:O335),0)*$E336,0),"return_of_capital",IFERROR(LOOKUP(2,1/($B$1:B335=B336),$P$1:P335),0)-ABS($M336),"split",IFERROR(LOOKUP(2,1/($B$1:B335=B336),$P$1:P335),0),IFERROR(LOOKUP(2,1/($B$1:B335=B336),$P$1:P335),0)))</x:f>
      </x:c>
      <x:c r="Q336" t="str">
        <x:f>IFERROR($P336/$O336,"")</x:f>
      </x:c>
      <x:c r="R336" t="str">
        <x:f>IF(LOWER($D336)="sell",$M336-$N336-IFERROR(IFERROR(LOOKUP(2,1/($B$1:B335=B336),$P$1:P335),0)/IFERROR(LOOKUP(2,1/($B$1:B335=B336),$O$1:O335),0)*$E336,0),"")</x:f>
      </x:c>
      <x:c r="S336" t="str">
        <x:f>IF(COUNTA($A336:$D336)=0,"",IF($B336="","Missing symbol",IF($D336="","Missing action",IF(AND(LOWER($D336)="sell",$E336&gt;IFERROR(LOOKUP(2,1/($B$1:B335=B336),$O$1:O335),0)),"Sold more units than available","OK"))))</x:f>
      </x:c>
    </x:row>
    <x:row r="337">
      <x:c r="M337" t="str">
        <x:f>IF(COUNTA($A337:$D337)=0,"",IF($G337&lt;&gt;"",$G337,IF(AND($E337&lt;&gt;"",$F337&lt;&gt;""),$E337*$F337,""))*IF($J337&lt;&gt;"",$J337,1))</x:f>
      </x:c>
      <x:c r="N337" t="str">
        <x:f>IF(COUNTA($A337:$D337)=0,"",IF($H337&lt;&gt;"",$H337,0)*IF($J337&lt;&gt;"",$J337,1))</x:f>
      </x:c>
      <x:c r="O337" t="str">
        <x:f>IF(COUNTA($A337:$D337)=0,"",SWITCH(LOWER($D337),"buy",IFERROR(LOOKUP(2,1/($B$1:B336=B337),$O$1:O336),0)+$E337,"drip",IFERROR(LOOKUP(2,1/($B$1:B336=B337),$O$1:O336),0)+$E337,"sell",IFERROR(LOOKUP(2,1/($B$1:B336=B337),$O$1:O336),0)-$E337,"return_of_capital",IFERROR(LOOKUP(2,1/($B$1:B336=B337),$O$1:O336),0),"split",$E337,IFERROR(LOOKUP(2,1/($B$1:B336=B337),$O$1:O336),0)))</x:f>
      </x:c>
      <x:c r="P337" t="str">
        <x:f>IF(COUNTA($A337:$D337)=0,"",SWITCH(LOWER($D337),"buy",IFERROR(LOOKUP(2,1/($B$1:B336=B337),$P$1:P336),0)+$M337+$N337,"drip",IFERROR(LOOKUP(2,1/($B$1:B336=B337),$P$1:P336),0)+$M337+$N337,"sell",IFERROR(LOOKUP(2,1/($B$1:B336=B337),$P$1:P336),0)-IFERROR(IFERROR(LOOKUP(2,1/($B$1:B336=B337),$P$1:P336),0)/IFERROR(LOOKUP(2,1/($B$1:B336=B337),$O$1:O336),0)*$E337,0),"return_of_capital",IFERROR(LOOKUP(2,1/($B$1:B336=B337),$P$1:P336),0)-ABS($M337),"split",IFERROR(LOOKUP(2,1/($B$1:B336=B337),$P$1:P336),0),IFERROR(LOOKUP(2,1/($B$1:B336=B337),$P$1:P336),0)))</x:f>
      </x:c>
      <x:c r="Q337" t="str">
        <x:f>IFERROR($P337/$O337,"")</x:f>
      </x:c>
      <x:c r="R337" t="str">
        <x:f>IF(LOWER($D337)="sell",$M337-$N337-IFERROR(IFERROR(LOOKUP(2,1/($B$1:B336=B337),$P$1:P336),0)/IFERROR(LOOKUP(2,1/($B$1:B336=B337),$O$1:O336),0)*$E337,0),"")</x:f>
      </x:c>
      <x:c r="S337" t="str">
        <x:f>IF(COUNTA($A337:$D337)=0,"",IF($B337="","Missing symbol",IF($D337="","Missing action",IF(AND(LOWER($D337)="sell",$E337&gt;IFERROR(LOOKUP(2,1/($B$1:B336=B337),$O$1:O336),0)),"Sold more units than available","OK"))))</x:f>
      </x:c>
    </x:row>
    <x:row r="338">
      <x:c r="M338" t="str">
        <x:f>IF(COUNTA($A338:$D338)=0,"",IF($G338&lt;&gt;"",$G338,IF(AND($E338&lt;&gt;"",$F338&lt;&gt;""),$E338*$F338,""))*IF($J338&lt;&gt;"",$J338,1))</x:f>
      </x:c>
      <x:c r="N338" t="str">
        <x:f>IF(COUNTA($A338:$D338)=0,"",IF($H338&lt;&gt;"",$H338,0)*IF($J338&lt;&gt;"",$J338,1))</x:f>
      </x:c>
      <x:c r="O338" t="str">
        <x:f>IF(COUNTA($A338:$D338)=0,"",SWITCH(LOWER($D338),"buy",IFERROR(LOOKUP(2,1/($B$1:B337=B338),$O$1:O337),0)+$E338,"drip",IFERROR(LOOKUP(2,1/($B$1:B337=B338),$O$1:O337),0)+$E338,"sell",IFERROR(LOOKUP(2,1/($B$1:B337=B338),$O$1:O337),0)-$E338,"return_of_capital",IFERROR(LOOKUP(2,1/($B$1:B337=B338),$O$1:O337),0),"split",$E338,IFERROR(LOOKUP(2,1/($B$1:B337=B338),$O$1:O337),0)))</x:f>
      </x:c>
      <x:c r="P338" t="str">
        <x:f>IF(COUNTA($A338:$D338)=0,"",SWITCH(LOWER($D338),"buy",IFERROR(LOOKUP(2,1/($B$1:B337=B338),$P$1:P337),0)+$M338+$N338,"drip",IFERROR(LOOKUP(2,1/($B$1:B337=B338),$P$1:P337),0)+$M338+$N338,"sell",IFERROR(LOOKUP(2,1/($B$1:B337=B338),$P$1:P337),0)-IFERROR(IFERROR(LOOKUP(2,1/($B$1:B337=B338),$P$1:P337),0)/IFERROR(LOOKUP(2,1/($B$1:B337=B338),$O$1:O337),0)*$E338,0),"return_of_capital",IFERROR(LOOKUP(2,1/($B$1:B337=B338),$P$1:P337),0)-ABS($M338),"split",IFERROR(LOOKUP(2,1/($B$1:B337=B338),$P$1:P337),0),IFERROR(LOOKUP(2,1/($B$1:B337=B338),$P$1:P337),0)))</x:f>
      </x:c>
      <x:c r="Q338" t="str">
        <x:f>IFERROR($P338/$O338,"")</x:f>
      </x:c>
      <x:c r="R338" t="str">
        <x:f>IF(LOWER($D338)="sell",$M338-$N338-IFERROR(IFERROR(LOOKUP(2,1/($B$1:B337=B338),$P$1:P337),0)/IFERROR(LOOKUP(2,1/($B$1:B337=B338),$O$1:O337),0)*$E338,0),"")</x:f>
      </x:c>
      <x:c r="S338" t="str">
        <x:f>IF(COUNTA($A338:$D338)=0,"",IF($B338="","Missing symbol",IF($D338="","Missing action",IF(AND(LOWER($D338)="sell",$E338&gt;IFERROR(LOOKUP(2,1/($B$1:B337=B338),$O$1:O337),0)),"Sold more units than available","OK"))))</x:f>
      </x:c>
    </x:row>
    <x:row r="339">
      <x:c r="M339" t="str">
        <x:f>IF(COUNTA($A339:$D339)=0,"",IF($G339&lt;&gt;"",$G339,IF(AND($E339&lt;&gt;"",$F339&lt;&gt;""),$E339*$F339,""))*IF($J339&lt;&gt;"",$J339,1))</x:f>
      </x:c>
      <x:c r="N339" t="str">
        <x:f>IF(COUNTA($A339:$D339)=0,"",IF($H339&lt;&gt;"",$H339,0)*IF($J339&lt;&gt;"",$J339,1))</x:f>
      </x:c>
      <x:c r="O339" t="str">
        <x:f>IF(COUNTA($A339:$D339)=0,"",SWITCH(LOWER($D339),"buy",IFERROR(LOOKUP(2,1/($B$1:B338=B339),$O$1:O338),0)+$E339,"drip",IFERROR(LOOKUP(2,1/($B$1:B338=B339),$O$1:O338),0)+$E339,"sell",IFERROR(LOOKUP(2,1/($B$1:B338=B339),$O$1:O338),0)-$E339,"return_of_capital",IFERROR(LOOKUP(2,1/($B$1:B338=B339),$O$1:O338),0),"split",$E339,IFERROR(LOOKUP(2,1/($B$1:B338=B339),$O$1:O338),0)))</x:f>
      </x:c>
      <x:c r="P339" t="str">
        <x:f>IF(COUNTA($A339:$D339)=0,"",SWITCH(LOWER($D339),"buy",IFERROR(LOOKUP(2,1/($B$1:B338=B339),$P$1:P338),0)+$M339+$N339,"drip",IFERROR(LOOKUP(2,1/($B$1:B338=B339),$P$1:P338),0)+$M339+$N339,"sell",IFERROR(LOOKUP(2,1/($B$1:B338=B339),$P$1:P338),0)-IFERROR(IFERROR(LOOKUP(2,1/($B$1:B338=B339),$P$1:P338),0)/IFERROR(LOOKUP(2,1/($B$1:B338=B339),$O$1:O338),0)*$E339,0),"return_of_capital",IFERROR(LOOKUP(2,1/($B$1:B338=B339),$P$1:P338),0)-ABS($M339),"split",IFERROR(LOOKUP(2,1/($B$1:B338=B339),$P$1:P338),0),IFERROR(LOOKUP(2,1/($B$1:B338=B339),$P$1:P338),0)))</x:f>
      </x:c>
      <x:c r="Q339" t="str">
        <x:f>IFERROR($P339/$O339,"")</x:f>
      </x:c>
      <x:c r="R339" t="str">
        <x:f>IF(LOWER($D339)="sell",$M339-$N339-IFERROR(IFERROR(LOOKUP(2,1/($B$1:B338=B339),$P$1:P338),0)/IFERROR(LOOKUP(2,1/($B$1:B338=B339),$O$1:O338),0)*$E339,0),"")</x:f>
      </x:c>
      <x:c r="S339" t="str">
        <x:f>IF(COUNTA($A339:$D339)=0,"",IF($B339="","Missing symbol",IF($D339="","Missing action",IF(AND(LOWER($D339)="sell",$E339&gt;IFERROR(LOOKUP(2,1/($B$1:B338=B339),$O$1:O338),0)),"Sold more units than available","OK"))))</x:f>
      </x:c>
    </x:row>
    <x:row r="340">
      <x:c r="M340" t="str">
        <x:f>IF(COUNTA($A340:$D340)=0,"",IF($G340&lt;&gt;"",$G340,IF(AND($E340&lt;&gt;"",$F340&lt;&gt;""),$E340*$F340,""))*IF($J340&lt;&gt;"",$J340,1))</x:f>
      </x:c>
      <x:c r="N340" t="str">
        <x:f>IF(COUNTA($A340:$D340)=0,"",IF($H340&lt;&gt;"",$H340,0)*IF($J340&lt;&gt;"",$J340,1))</x:f>
      </x:c>
      <x:c r="O340" t="str">
        <x:f>IF(COUNTA($A340:$D340)=0,"",SWITCH(LOWER($D340),"buy",IFERROR(LOOKUP(2,1/($B$1:B339=B340),$O$1:O339),0)+$E340,"drip",IFERROR(LOOKUP(2,1/($B$1:B339=B340),$O$1:O339),0)+$E340,"sell",IFERROR(LOOKUP(2,1/($B$1:B339=B340),$O$1:O339),0)-$E340,"return_of_capital",IFERROR(LOOKUP(2,1/($B$1:B339=B340),$O$1:O339),0),"split",$E340,IFERROR(LOOKUP(2,1/($B$1:B339=B340),$O$1:O339),0)))</x:f>
      </x:c>
      <x:c r="P340" t="str">
        <x:f>IF(COUNTA($A340:$D340)=0,"",SWITCH(LOWER($D340),"buy",IFERROR(LOOKUP(2,1/($B$1:B339=B340),$P$1:P339),0)+$M340+$N340,"drip",IFERROR(LOOKUP(2,1/($B$1:B339=B340),$P$1:P339),0)+$M340+$N340,"sell",IFERROR(LOOKUP(2,1/($B$1:B339=B340),$P$1:P339),0)-IFERROR(IFERROR(LOOKUP(2,1/($B$1:B339=B340),$P$1:P339),0)/IFERROR(LOOKUP(2,1/($B$1:B339=B340),$O$1:O339),0)*$E340,0),"return_of_capital",IFERROR(LOOKUP(2,1/($B$1:B339=B340),$P$1:P339),0)-ABS($M340),"split",IFERROR(LOOKUP(2,1/($B$1:B339=B340),$P$1:P339),0),IFERROR(LOOKUP(2,1/($B$1:B339=B340),$P$1:P339),0)))</x:f>
      </x:c>
      <x:c r="Q340" t="str">
        <x:f>IFERROR($P340/$O340,"")</x:f>
      </x:c>
      <x:c r="R340" t="str">
        <x:f>IF(LOWER($D340)="sell",$M340-$N340-IFERROR(IFERROR(LOOKUP(2,1/($B$1:B339=B340),$P$1:P339),0)/IFERROR(LOOKUP(2,1/($B$1:B339=B340),$O$1:O339),0)*$E340,0),"")</x:f>
      </x:c>
      <x:c r="S340" t="str">
        <x:f>IF(COUNTA($A340:$D340)=0,"",IF($B340="","Missing symbol",IF($D340="","Missing action",IF(AND(LOWER($D340)="sell",$E340&gt;IFERROR(LOOKUP(2,1/($B$1:B339=B340),$O$1:O339),0)),"Sold more units than available","OK"))))</x:f>
      </x:c>
    </x:row>
    <x:row r="341">
      <x:c r="M341" t="str">
        <x:f>IF(COUNTA($A341:$D341)=0,"",IF($G341&lt;&gt;"",$G341,IF(AND($E341&lt;&gt;"",$F341&lt;&gt;""),$E341*$F341,""))*IF($J341&lt;&gt;"",$J341,1))</x:f>
      </x:c>
      <x:c r="N341" t="str">
        <x:f>IF(COUNTA($A341:$D341)=0,"",IF($H341&lt;&gt;"",$H341,0)*IF($J341&lt;&gt;"",$J341,1))</x:f>
      </x:c>
      <x:c r="O341" t="str">
        <x:f>IF(COUNTA($A341:$D341)=0,"",SWITCH(LOWER($D341),"buy",IFERROR(LOOKUP(2,1/($B$1:B340=B341),$O$1:O340),0)+$E341,"drip",IFERROR(LOOKUP(2,1/($B$1:B340=B341),$O$1:O340),0)+$E341,"sell",IFERROR(LOOKUP(2,1/($B$1:B340=B341),$O$1:O340),0)-$E341,"return_of_capital",IFERROR(LOOKUP(2,1/($B$1:B340=B341),$O$1:O340),0),"split",$E341,IFERROR(LOOKUP(2,1/($B$1:B340=B341),$O$1:O340),0)))</x:f>
      </x:c>
      <x:c r="P341" t="str">
        <x:f>IF(COUNTA($A341:$D341)=0,"",SWITCH(LOWER($D341),"buy",IFERROR(LOOKUP(2,1/($B$1:B340=B341),$P$1:P340),0)+$M341+$N341,"drip",IFERROR(LOOKUP(2,1/($B$1:B340=B341),$P$1:P340),0)+$M341+$N341,"sell",IFERROR(LOOKUP(2,1/($B$1:B340=B341),$P$1:P340),0)-IFERROR(IFERROR(LOOKUP(2,1/($B$1:B340=B341),$P$1:P340),0)/IFERROR(LOOKUP(2,1/($B$1:B340=B341),$O$1:O340),0)*$E341,0),"return_of_capital",IFERROR(LOOKUP(2,1/($B$1:B340=B341),$P$1:P340),0)-ABS($M341),"split",IFERROR(LOOKUP(2,1/($B$1:B340=B341),$P$1:P340),0),IFERROR(LOOKUP(2,1/($B$1:B340=B341),$P$1:P340),0)))</x:f>
      </x:c>
      <x:c r="Q341" t="str">
        <x:f>IFERROR($P341/$O341,"")</x:f>
      </x:c>
      <x:c r="R341" t="str">
        <x:f>IF(LOWER($D341)="sell",$M341-$N341-IFERROR(IFERROR(LOOKUP(2,1/($B$1:B340=B341),$P$1:P340),0)/IFERROR(LOOKUP(2,1/($B$1:B340=B341),$O$1:O340),0)*$E341,0),"")</x:f>
      </x:c>
      <x:c r="S341" t="str">
        <x:f>IF(COUNTA($A341:$D341)=0,"",IF($B341="","Missing symbol",IF($D341="","Missing action",IF(AND(LOWER($D341)="sell",$E341&gt;IFERROR(LOOKUP(2,1/($B$1:B340=B341),$O$1:O340),0)),"Sold more units than available","OK"))))</x:f>
      </x:c>
    </x:row>
    <x:row r="342">
      <x:c r="M342" t="str">
        <x:f>IF(COUNTA($A342:$D342)=0,"",IF($G342&lt;&gt;"",$G342,IF(AND($E342&lt;&gt;"",$F342&lt;&gt;""),$E342*$F342,""))*IF($J342&lt;&gt;"",$J342,1))</x:f>
      </x:c>
      <x:c r="N342" t="str">
        <x:f>IF(COUNTA($A342:$D342)=0,"",IF($H342&lt;&gt;"",$H342,0)*IF($J342&lt;&gt;"",$J342,1))</x:f>
      </x:c>
      <x:c r="O342" t="str">
        <x:f>IF(COUNTA($A342:$D342)=0,"",SWITCH(LOWER($D342),"buy",IFERROR(LOOKUP(2,1/($B$1:B341=B342),$O$1:O341),0)+$E342,"drip",IFERROR(LOOKUP(2,1/($B$1:B341=B342),$O$1:O341),0)+$E342,"sell",IFERROR(LOOKUP(2,1/($B$1:B341=B342),$O$1:O341),0)-$E342,"return_of_capital",IFERROR(LOOKUP(2,1/($B$1:B341=B342),$O$1:O341),0),"split",$E342,IFERROR(LOOKUP(2,1/($B$1:B341=B342),$O$1:O341),0)))</x:f>
      </x:c>
      <x:c r="P342" t="str">
        <x:f>IF(COUNTA($A342:$D342)=0,"",SWITCH(LOWER($D342),"buy",IFERROR(LOOKUP(2,1/($B$1:B341=B342),$P$1:P341),0)+$M342+$N342,"drip",IFERROR(LOOKUP(2,1/($B$1:B341=B342),$P$1:P341),0)+$M342+$N342,"sell",IFERROR(LOOKUP(2,1/($B$1:B341=B342),$P$1:P341),0)-IFERROR(IFERROR(LOOKUP(2,1/($B$1:B341=B342),$P$1:P341),0)/IFERROR(LOOKUP(2,1/($B$1:B341=B342),$O$1:O341),0)*$E342,0),"return_of_capital",IFERROR(LOOKUP(2,1/($B$1:B341=B342),$P$1:P341),0)-ABS($M342),"split",IFERROR(LOOKUP(2,1/($B$1:B341=B342),$P$1:P341),0),IFERROR(LOOKUP(2,1/($B$1:B341=B342),$P$1:P341),0)))</x:f>
      </x:c>
      <x:c r="Q342" t="str">
        <x:f>IFERROR($P342/$O342,"")</x:f>
      </x:c>
      <x:c r="R342" t="str">
        <x:f>IF(LOWER($D342)="sell",$M342-$N342-IFERROR(IFERROR(LOOKUP(2,1/($B$1:B341=B342),$P$1:P341),0)/IFERROR(LOOKUP(2,1/($B$1:B341=B342),$O$1:O341),0)*$E342,0),"")</x:f>
      </x:c>
      <x:c r="S342" t="str">
        <x:f>IF(COUNTA($A342:$D342)=0,"",IF($B342="","Missing symbol",IF($D342="","Missing action",IF(AND(LOWER($D342)="sell",$E342&gt;IFERROR(LOOKUP(2,1/($B$1:B341=B342),$O$1:O341),0)),"Sold more units than available","OK"))))</x:f>
      </x:c>
    </x:row>
    <x:row r="343">
      <x:c r="M343" t="str">
        <x:f>IF(COUNTA($A343:$D343)=0,"",IF($G343&lt;&gt;"",$G343,IF(AND($E343&lt;&gt;"",$F343&lt;&gt;""),$E343*$F343,""))*IF($J343&lt;&gt;"",$J343,1))</x:f>
      </x:c>
      <x:c r="N343" t="str">
        <x:f>IF(COUNTA($A343:$D343)=0,"",IF($H343&lt;&gt;"",$H343,0)*IF($J343&lt;&gt;"",$J343,1))</x:f>
      </x:c>
      <x:c r="O343" t="str">
        <x:f>IF(COUNTA($A343:$D343)=0,"",SWITCH(LOWER($D343),"buy",IFERROR(LOOKUP(2,1/($B$1:B342=B343),$O$1:O342),0)+$E343,"drip",IFERROR(LOOKUP(2,1/($B$1:B342=B343),$O$1:O342),0)+$E343,"sell",IFERROR(LOOKUP(2,1/($B$1:B342=B343),$O$1:O342),0)-$E343,"return_of_capital",IFERROR(LOOKUP(2,1/($B$1:B342=B343),$O$1:O342),0),"split",$E343,IFERROR(LOOKUP(2,1/($B$1:B342=B343),$O$1:O342),0)))</x:f>
      </x:c>
      <x:c r="P343" t="str">
        <x:f>IF(COUNTA($A343:$D343)=0,"",SWITCH(LOWER($D343),"buy",IFERROR(LOOKUP(2,1/($B$1:B342=B343),$P$1:P342),0)+$M343+$N343,"drip",IFERROR(LOOKUP(2,1/($B$1:B342=B343),$P$1:P342),0)+$M343+$N343,"sell",IFERROR(LOOKUP(2,1/($B$1:B342=B343),$P$1:P342),0)-IFERROR(IFERROR(LOOKUP(2,1/($B$1:B342=B343),$P$1:P342),0)/IFERROR(LOOKUP(2,1/($B$1:B342=B343),$O$1:O342),0)*$E343,0),"return_of_capital",IFERROR(LOOKUP(2,1/($B$1:B342=B343),$P$1:P342),0)-ABS($M343),"split",IFERROR(LOOKUP(2,1/($B$1:B342=B343),$P$1:P342),0),IFERROR(LOOKUP(2,1/($B$1:B342=B343),$P$1:P342),0)))</x:f>
      </x:c>
      <x:c r="Q343" t="str">
        <x:f>IFERROR($P343/$O343,"")</x:f>
      </x:c>
      <x:c r="R343" t="str">
        <x:f>IF(LOWER($D343)="sell",$M343-$N343-IFERROR(IFERROR(LOOKUP(2,1/($B$1:B342=B343),$P$1:P342),0)/IFERROR(LOOKUP(2,1/($B$1:B342=B343),$O$1:O342),0)*$E343,0),"")</x:f>
      </x:c>
      <x:c r="S343" t="str">
        <x:f>IF(COUNTA($A343:$D343)=0,"",IF($B343="","Missing symbol",IF($D343="","Missing action",IF(AND(LOWER($D343)="sell",$E343&gt;IFERROR(LOOKUP(2,1/($B$1:B342=B343),$O$1:O342),0)),"Sold more units than available","OK"))))</x:f>
      </x:c>
    </x:row>
    <x:row r="344">
      <x:c r="M344" t="str">
        <x:f>IF(COUNTA($A344:$D344)=0,"",IF($G344&lt;&gt;"",$G344,IF(AND($E344&lt;&gt;"",$F344&lt;&gt;""),$E344*$F344,""))*IF($J344&lt;&gt;"",$J344,1))</x:f>
      </x:c>
      <x:c r="N344" t="str">
        <x:f>IF(COUNTA($A344:$D344)=0,"",IF($H344&lt;&gt;"",$H344,0)*IF($J344&lt;&gt;"",$J344,1))</x:f>
      </x:c>
      <x:c r="O344" t="str">
        <x:f>IF(COUNTA($A344:$D344)=0,"",SWITCH(LOWER($D344),"buy",IFERROR(LOOKUP(2,1/($B$1:B343=B344),$O$1:O343),0)+$E344,"drip",IFERROR(LOOKUP(2,1/($B$1:B343=B344),$O$1:O343),0)+$E344,"sell",IFERROR(LOOKUP(2,1/($B$1:B343=B344),$O$1:O343),0)-$E344,"return_of_capital",IFERROR(LOOKUP(2,1/($B$1:B343=B344),$O$1:O343),0),"split",$E344,IFERROR(LOOKUP(2,1/($B$1:B343=B344),$O$1:O343),0)))</x:f>
      </x:c>
      <x:c r="P344" t="str">
        <x:f>IF(COUNTA($A344:$D344)=0,"",SWITCH(LOWER($D344),"buy",IFERROR(LOOKUP(2,1/($B$1:B343=B344),$P$1:P343),0)+$M344+$N344,"drip",IFERROR(LOOKUP(2,1/($B$1:B343=B344),$P$1:P343),0)+$M344+$N344,"sell",IFERROR(LOOKUP(2,1/($B$1:B343=B344),$P$1:P343),0)-IFERROR(IFERROR(LOOKUP(2,1/($B$1:B343=B344),$P$1:P343),0)/IFERROR(LOOKUP(2,1/($B$1:B343=B344),$O$1:O343),0)*$E344,0),"return_of_capital",IFERROR(LOOKUP(2,1/($B$1:B343=B344),$P$1:P343),0)-ABS($M344),"split",IFERROR(LOOKUP(2,1/($B$1:B343=B344),$P$1:P343),0),IFERROR(LOOKUP(2,1/($B$1:B343=B344),$P$1:P343),0)))</x:f>
      </x:c>
      <x:c r="Q344" t="str">
        <x:f>IFERROR($P344/$O344,"")</x:f>
      </x:c>
      <x:c r="R344" t="str">
        <x:f>IF(LOWER($D344)="sell",$M344-$N344-IFERROR(IFERROR(LOOKUP(2,1/($B$1:B343=B344),$P$1:P343),0)/IFERROR(LOOKUP(2,1/($B$1:B343=B344),$O$1:O343),0)*$E344,0),"")</x:f>
      </x:c>
      <x:c r="S344" t="str">
        <x:f>IF(COUNTA($A344:$D344)=0,"",IF($B344="","Missing symbol",IF($D344="","Missing action",IF(AND(LOWER($D344)="sell",$E344&gt;IFERROR(LOOKUP(2,1/($B$1:B343=B344),$O$1:O343),0)),"Sold more units than available","OK"))))</x:f>
      </x:c>
    </x:row>
    <x:row r="345">
      <x:c r="M345" t="str">
        <x:f>IF(COUNTA($A345:$D345)=0,"",IF($G345&lt;&gt;"",$G345,IF(AND($E345&lt;&gt;"",$F345&lt;&gt;""),$E345*$F345,""))*IF($J345&lt;&gt;"",$J345,1))</x:f>
      </x:c>
      <x:c r="N345" t="str">
        <x:f>IF(COUNTA($A345:$D345)=0,"",IF($H345&lt;&gt;"",$H345,0)*IF($J345&lt;&gt;"",$J345,1))</x:f>
      </x:c>
      <x:c r="O345" t="str">
        <x:f>IF(COUNTA($A345:$D345)=0,"",SWITCH(LOWER($D345),"buy",IFERROR(LOOKUP(2,1/($B$1:B344=B345),$O$1:O344),0)+$E345,"drip",IFERROR(LOOKUP(2,1/($B$1:B344=B345),$O$1:O344),0)+$E345,"sell",IFERROR(LOOKUP(2,1/($B$1:B344=B345),$O$1:O344),0)-$E345,"return_of_capital",IFERROR(LOOKUP(2,1/($B$1:B344=B345),$O$1:O344),0),"split",$E345,IFERROR(LOOKUP(2,1/($B$1:B344=B345),$O$1:O344),0)))</x:f>
      </x:c>
      <x:c r="P345" t="str">
        <x:f>IF(COUNTA($A345:$D345)=0,"",SWITCH(LOWER($D345),"buy",IFERROR(LOOKUP(2,1/($B$1:B344=B345),$P$1:P344),0)+$M345+$N345,"drip",IFERROR(LOOKUP(2,1/($B$1:B344=B345),$P$1:P344),0)+$M345+$N345,"sell",IFERROR(LOOKUP(2,1/($B$1:B344=B345),$P$1:P344),0)-IFERROR(IFERROR(LOOKUP(2,1/($B$1:B344=B345),$P$1:P344),0)/IFERROR(LOOKUP(2,1/($B$1:B344=B345),$O$1:O344),0)*$E345,0),"return_of_capital",IFERROR(LOOKUP(2,1/($B$1:B344=B345),$P$1:P344),0)-ABS($M345),"split",IFERROR(LOOKUP(2,1/($B$1:B344=B345),$P$1:P344),0),IFERROR(LOOKUP(2,1/($B$1:B344=B345),$P$1:P344),0)))</x:f>
      </x:c>
      <x:c r="Q345" t="str">
        <x:f>IFERROR($P345/$O345,"")</x:f>
      </x:c>
      <x:c r="R345" t="str">
        <x:f>IF(LOWER($D345)="sell",$M345-$N345-IFERROR(IFERROR(LOOKUP(2,1/($B$1:B344=B345),$P$1:P344),0)/IFERROR(LOOKUP(2,1/($B$1:B344=B345),$O$1:O344),0)*$E345,0),"")</x:f>
      </x:c>
      <x:c r="S345" t="str">
        <x:f>IF(COUNTA($A345:$D345)=0,"",IF($B345="","Missing symbol",IF($D345="","Missing action",IF(AND(LOWER($D345)="sell",$E345&gt;IFERROR(LOOKUP(2,1/($B$1:B344=B345),$O$1:O344),0)),"Sold more units than available","OK"))))</x:f>
      </x:c>
    </x:row>
    <x:row r="346">
      <x:c r="M346" t="str">
        <x:f>IF(COUNTA($A346:$D346)=0,"",IF($G346&lt;&gt;"",$G346,IF(AND($E346&lt;&gt;"",$F346&lt;&gt;""),$E346*$F346,""))*IF($J346&lt;&gt;"",$J346,1))</x:f>
      </x:c>
      <x:c r="N346" t="str">
        <x:f>IF(COUNTA($A346:$D346)=0,"",IF($H346&lt;&gt;"",$H346,0)*IF($J346&lt;&gt;"",$J346,1))</x:f>
      </x:c>
      <x:c r="O346" t="str">
        <x:f>IF(COUNTA($A346:$D346)=0,"",SWITCH(LOWER($D346),"buy",IFERROR(LOOKUP(2,1/($B$1:B345=B346),$O$1:O345),0)+$E346,"drip",IFERROR(LOOKUP(2,1/($B$1:B345=B346),$O$1:O345),0)+$E346,"sell",IFERROR(LOOKUP(2,1/($B$1:B345=B346),$O$1:O345),0)-$E346,"return_of_capital",IFERROR(LOOKUP(2,1/($B$1:B345=B346),$O$1:O345),0),"split",$E346,IFERROR(LOOKUP(2,1/($B$1:B345=B346),$O$1:O345),0)))</x:f>
      </x:c>
      <x:c r="P346" t="str">
        <x:f>IF(COUNTA($A346:$D346)=0,"",SWITCH(LOWER($D346),"buy",IFERROR(LOOKUP(2,1/($B$1:B345=B346),$P$1:P345),0)+$M346+$N346,"drip",IFERROR(LOOKUP(2,1/($B$1:B345=B346),$P$1:P345),0)+$M346+$N346,"sell",IFERROR(LOOKUP(2,1/($B$1:B345=B346),$P$1:P345),0)-IFERROR(IFERROR(LOOKUP(2,1/($B$1:B345=B346),$P$1:P345),0)/IFERROR(LOOKUP(2,1/($B$1:B345=B346),$O$1:O345),0)*$E346,0),"return_of_capital",IFERROR(LOOKUP(2,1/($B$1:B345=B346),$P$1:P345),0)-ABS($M346),"split",IFERROR(LOOKUP(2,1/($B$1:B345=B346),$P$1:P345),0),IFERROR(LOOKUP(2,1/($B$1:B345=B346),$P$1:P345),0)))</x:f>
      </x:c>
      <x:c r="Q346" t="str">
        <x:f>IFERROR($P346/$O346,"")</x:f>
      </x:c>
      <x:c r="R346" t="str">
        <x:f>IF(LOWER($D346)="sell",$M346-$N346-IFERROR(IFERROR(LOOKUP(2,1/($B$1:B345=B346),$P$1:P345),0)/IFERROR(LOOKUP(2,1/($B$1:B345=B346),$O$1:O345),0)*$E346,0),"")</x:f>
      </x:c>
      <x:c r="S346" t="str">
        <x:f>IF(COUNTA($A346:$D346)=0,"",IF($B346="","Missing symbol",IF($D346="","Missing action",IF(AND(LOWER($D346)="sell",$E346&gt;IFERROR(LOOKUP(2,1/($B$1:B345=B346),$O$1:O345),0)),"Sold more units than available","OK"))))</x:f>
      </x:c>
    </x:row>
    <x:row r="347">
      <x:c r="M347" t="str">
        <x:f>IF(COUNTA($A347:$D347)=0,"",IF($G347&lt;&gt;"",$G347,IF(AND($E347&lt;&gt;"",$F347&lt;&gt;""),$E347*$F347,""))*IF($J347&lt;&gt;"",$J347,1))</x:f>
      </x:c>
      <x:c r="N347" t="str">
        <x:f>IF(COUNTA($A347:$D347)=0,"",IF($H347&lt;&gt;"",$H347,0)*IF($J347&lt;&gt;"",$J347,1))</x:f>
      </x:c>
      <x:c r="O347" t="str">
        <x:f>IF(COUNTA($A347:$D347)=0,"",SWITCH(LOWER($D347),"buy",IFERROR(LOOKUP(2,1/($B$1:B346=B347),$O$1:O346),0)+$E347,"drip",IFERROR(LOOKUP(2,1/($B$1:B346=B347),$O$1:O346),0)+$E347,"sell",IFERROR(LOOKUP(2,1/($B$1:B346=B347),$O$1:O346),0)-$E347,"return_of_capital",IFERROR(LOOKUP(2,1/($B$1:B346=B347),$O$1:O346),0),"split",$E347,IFERROR(LOOKUP(2,1/($B$1:B346=B347),$O$1:O346),0)))</x:f>
      </x:c>
      <x:c r="P347" t="str">
        <x:f>IF(COUNTA($A347:$D347)=0,"",SWITCH(LOWER($D347),"buy",IFERROR(LOOKUP(2,1/($B$1:B346=B347),$P$1:P346),0)+$M347+$N347,"drip",IFERROR(LOOKUP(2,1/($B$1:B346=B347),$P$1:P346),0)+$M347+$N347,"sell",IFERROR(LOOKUP(2,1/($B$1:B346=B347),$P$1:P346),0)-IFERROR(IFERROR(LOOKUP(2,1/($B$1:B346=B347),$P$1:P346),0)/IFERROR(LOOKUP(2,1/($B$1:B346=B347),$O$1:O346),0)*$E347,0),"return_of_capital",IFERROR(LOOKUP(2,1/($B$1:B346=B347),$P$1:P346),0)-ABS($M347),"split",IFERROR(LOOKUP(2,1/($B$1:B346=B347),$P$1:P346),0),IFERROR(LOOKUP(2,1/($B$1:B346=B347),$P$1:P346),0)))</x:f>
      </x:c>
      <x:c r="Q347" t="str">
        <x:f>IFERROR($P347/$O347,"")</x:f>
      </x:c>
      <x:c r="R347" t="str">
        <x:f>IF(LOWER($D347)="sell",$M347-$N347-IFERROR(IFERROR(LOOKUP(2,1/($B$1:B346=B347),$P$1:P346),0)/IFERROR(LOOKUP(2,1/($B$1:B346=B347),$O$1:O346),0)*$E347,0),"")</x:f>
      </x:c>
      <x:c r="S347" t="str">
        <x:f>IF(COUNTA($A347:$D347)=0,"",IF($B347="","Missing symbol",IF($D347="","Missing action",IF(AND(LOWER($D347)="sell",$E347&gt;IFERROR(LOOKUP(2,1/($B$1:B346=B347),$O$1:O346),0)),"Sold more units than available","OK"))))</x:f>
      </x:c>
    </x:row>
    <x:row r="348">
      <x:c r="M348" t="str">
        <x:f>IF(COUNTA($A348:$D348)=0,"",IF($G348&lt;&gt;"",$G348,IF(AND($E348&lt;&gt;"",$F348&lt;&gt;""),$E348*$F348,""))*IF($J348&lt;&gt;"",$J348,1))</x:f>
      </x:c>
      <x:c r="N348" t="str">
        <x:f>IF(COUNTA($A348:$D348)=0,"",IF($H348&lt;&gt;"",$H348,0)*IF($J348&lt;&gt;"",$J348,1))</x:f>
      </x:c>
      <x:c r="O348" t="str">
        <x:f>IF(COUNTA($A348:$D348)=0,"",SWITCH(LOWER($D348),"buy",IFERROR(LOOKUP(2,1/($B$1:B347=B348),$O$1:O347),0)+$E348,"drip",IFERROR(LOOKUP(2,1/($B$1:B347=B348),$O$1:O347),0)+$E348,"sell",IFERROR(LOOKUP(2,1/($B$1:B347=B348),$O$1:O347),0)-$E348,"return_of_capital",IFERROR(LOOKUP(2,1/($B$1:B347=B348),$O$1:O347),0),"split",$E348,IFERROR(LOOKUP(2,1/($B$1:B347=B348),$O$1:O347),0)))</x:f>
      </x:c>
      <x:c r="P348" t="str">
        <x:f>IF(COUNTA($A348:$D348)=0,"",SWITCH(LOWER($D348),"buy",IFERROR(LOOKUP(2,1/($B$1:B347=B348),$P$1:P347),0)+$M348+$N348,"drip",IFERROR(LOOKUP(2,1/($B$1:B347=B348),$P$1:P347),0)+$M348+$N348,"sell",IFERROR(LOOKUP(2,1/($B$1:B347=B348),$P$1:P347),0)-IFERROR(IFERROR(LOOKUP(2,1/($B$1:B347=B348),$P$1:P347),0)/IFERROR(LOOKUP(2,1/($B$1:B347=B348),$O$1:O347),0)*$E348,0),"return_of_capital",IFERROR(LOOKUP(2,1/($B$1:B347=B348),$P$1:P347),0)-ABS($M348),"split",IFERROR(LOOKUP(2,1/($B$1:B347=B348),$P$1:P347),0),IFERROR(LOOKUP(2,1/($B$1:B347=B348),$P$1:P347),0)))</x:f>
      </x:c>
      <x:c r="Q348" t="str">
        <x:f>IFERROR($P348/$O348,"")</x:f>
      </x:c>
      <x:c r="R348" t="str">
        <x:f>IF(LOWER($D348)="sell",$M348-$N348-IFERROR(IFERROR(LOOKUP(2,1/($B$1:B347=B348),$P$1:P347),0)/IFERROR(LOOKUP(2,1/($B$1:B347=B348),$O$1:O347),0)*$E348,0),"")</x:f>
      </x:c>
      <x:c r="S348" t="str">
        <x:f>IF(COUNTA($A348:$D348)=0,"",IF($B348="","Missing symbol",IF($D348="","Missing action",IF(AND(LOWER($D348)="sell",$E348&gt;IFERROR(LOOKUP(2,1/($B$1:B347=B348),$O$1:O347),0)),"Sold more units than available","OK"))))</x:f>
      </x:c>
    </x:row>
    <x:row r="349">
      <x:c r="M349" t="str">
        <x:f>IF(COUNTA($A349:$D349)=0,"",IF($G349&lt;&gt;"",$G349,IF(AND($E349&lt;&gt;"",$F349&lt;&gt;""),$E349*$F349,""))*IF($J349&lt;&gt;"",$J349,1))</x:f>
      </x:c>
      <x:c r="N349" t="str">
        <x:f>IF(COUNTA($A349:$D349)=0,"",IF($H349&lt;&gt;"",$H349,0)*IF($J349&lt;&gt;"",$J349,1))</x:f>
      </x:c>
      <x:c r="O349" t="str">
        <x:f>IF(COUNTA($A349:$D349)=0,"",SWITCH(LOWER($D349),"buy",IFERROR(LOOKUP(2,1/($B$1:B348=B349),$O$1:O348),0)+$E349,"drip",IFERROR(LOOKUP(2,1/($B$1:B348=B349),$O$1:O348),0)+$E349,"sell",IFERROR(LOOKUP(2,1/($B$1:B348=B349),$O$1:O348),0)-$E349,"return_of_capital",IFERROR(LOOKUP(2,1/($B$1:B348=B349),$O$1:O348),0),"split",$E349,IFERROR(LOOKUP(2,1/($B$1:B348=B349),$O$1:O348),0)))</x:f>
      </x:c>
      <x:c r="P349" t="str">
        <x:f>IF(COUNTA($A349:$D349)=0,"",SWITCH(LOWER($D349),"buy",IFERROR(LOOKUP(2,1/($B$1:B348=B349),$P$1:P348),0)+$M349+$N349,"drip",IFERROR(LOOKUP(2,1/($B$1:B348=B349),$P$1:P348),0)+$M349+$N349,"sell",IFERROR(LOOKUP(2,1/($B$1:B348=B349),$P$1:P348),0)-IFERROR(IFERROR(LOOKUP(2,1/($B$1:B348=B349),$P$1:P348),0)/IFERROR(LOOKUP(2,1/($B$1:B348=B349),$O$1:O348),0)*$E349,0),"return_of_capital",IFERROR(LOOKUP(2,1/($B$1:B348=B349),$P$1:P348),0)-ABS($M349),"split",IFERROR(LOOKUP(2,1/($B$1:B348=B349),$P$1:P348),0),IFERROR(LOOKUP(2,1/($B$1:B348=B349),$P$1:P348),0)))</x:f>
      </x:c>
      <x:c r="Q349" t="str">
        <x:f>IFERROR($P349/$O349,"")</x:f>
      </x:c>
      <x:c r="R349" t="str">
        <x:f>IF(LOWER($D349)="sell",$M349-$N349-IFERROR(IFERROR(LOOKUP(2,1/($B$1:B348=B349),$P$1:P348),0)/IFERROR(LOOKUP(2,1/($B$1:B348=B349),$O$1:O348),0)*$E349,0),"")</x:f>
      </x:c>
      <x:c r="S349" t="str">
        <x:f>IF(COUNTA($A349:$D349)=0,"",IF($B349="","Missing symbol",IF($D349="","Missing action",IF(AND(LOWER($D349)="sell",$E349&gt;IFERROR(LOOKUP(2,1/($B$1:B348=B349),$O$1:O348),0)),"Sold more units than available","OK"))))</x:f>
      </x:c>
    </x:row>
    <x:row r="350">
      <x:c r="M350" t="str">
        <x:f>IF(COUNTA($A350:$D350)=0,"",IF($G350&lt;&gt;"",$G350,IF(AND($E350&lt;&gt;"",$F350&lt;&gt;""),$E350*$F350,""))*IF($J350&lt;&gt;"",$J350,1))</x:f>
      </x:c>
      <x:c r="N350" t="str">
        <x:f>IF(COUNTA($A350:$D350)=0,"",IF($H350&lt;&gt;"",$H350,0)*IF($J350&lt;&gt;"",$J350,1))</x:f>
      </x:c>
      <x:c r="O350" t="str">
        <x:f>IF(COUNTA($A350:$D350)=0,"",SWITCH(LOWER($D350),"buy",IFERROR(LOOKUP(2,1/($B$1:B349=B350),$O$1:O349),0)+$E350,"drip",IFERROR(LOOKUP(2,1/($B$1:B349=B350),$O$1:O349),0)+$E350,"sell",IFERROR(LOOKUP(2,1/($B$1:B349=B350),$O$1:O349),0)-$E350,"return_of_capital",IFERROR(LOOKUP(2,1/($B$1:B349=B350),$O$1:O349),0),"split",$E350,IFERROR(LOOKUP(2,1/($B$1:B349=B350),$O$1:O349),0)))</x:f>
      </x:c>
      <x:c r="P350" t="str">
        <x:f>IF(COUNTA($A350:$D350)=0,"",SWITCH(LOWER($D350),"buy",IFERROR(LOOKUP(2,1/($B$1:B349=B350),$P$1:P349),0)+$M350+$N350,"drip",IFERROR(LOOKUP(2,1/($B$1:B349=B350),$P$1:P349),0)+$M350+$N350,"sell",IFERROR(LOOKUP(2,1/($B$1:B349=B350),$P$1:P349),0)-IFERROR(IFERROR(LOOKUP(2,1/($B$1:B349=B350),$P$1:P349),0)/IFERROR(LOOKUP(2,1/($B$1:B349=B350),$O$1:O349),0)*$E350,0),"return_of_capital",IFERROR(LOOKUP(2,1/($B$1:B349=B350),$P$1:P349),0)-ABS($M350),"split",IFERROR(LOOKUP(2,1/($B$1:B349=B350),$P$1:P349),0),IFERROR(LOOKUP(2,1/($B$1:B349=B350),$P$1:P349),0)))</x:f>
      </x:c>
      <x:c r="Q350" t="str">
        <x:f>IFERROR($P350/$O350,"")</x:f>
      </x:c>
      <x:c r="R350" t="str">
        <x:f>IF(LOWER($D350)="sell",$M350-$N350-IFERROR(IFERROR(LOOKUP(2,1/($B$1:B349=B350),$P$1:P349),0)/IFERROR(LOOKUP(2,1/($B$1:B349=B350),$O$1:O349),0)*$E350,0),"")</x:f>
      </x:c>
      <x:c r="S350" t="str">
        <x:f>IF(COUNTA($A350:$D350)=0,"",IF($B350="","Missing symbol",IF($D350="","Missing action",IF(AND(LOWER($D350)="sell",$E350&gt;IFERROR(LOOKUP(2,1/($B$1:B349=B350),$O$1:O349),0)),"Sold more units than available","OK"))))</x:f>
      </x:c>
    </x:row>
    <x:row r="351">
      <x:c r="M351" t="str">
        <x:f>IF(COUNTA($A351:$D351)=0,"",IF($G351&lt;&gt;"",$G351,IF(AND($E351&lt;&gt;"",$F351&lt;&gt;""),$E351*$F351,""))*IF($J351&lt;&gt;"",$J351,1))</x:f>
      </x:c>
      <x:c r="N351" t="str">
        <x:f>IF(COUNTA($A351:$D351)=0,"",IF($H351&lt;&gt;"",$H351,0)*IF($J351&lt;&gt;"",$J351,1))</x:f>
      </x:c>
      <x:c r="O351" t="str">
        <x:f>IF(COUNTA($A351:$D351)=0,"",SWITCH(LOWER($D351),"buy",IFERROR(LOOKUP(2,1/($B$1:B350=B351),$O$1:O350),0)+$E351,"drip",IFERROR(LOOKUP(2,1/($B$1:B350=B351),$O$1:O350),0)+$E351,"sell",IFERROR(LOOKUP(2,1/($B$1:B350=B351),$O$1:O350),0)-$E351,"return_of_capital",IFERROR(LOOKUP(2,1/($B$1:B350=B351),$O$1:O350),0),"split",$E351,IFERROR(LOOKUP(2,1/($B$1:B350=B351),$O$1:O350),0)))</x:f>
      </x:c>
      <x:c r="P351" t="str">
        <x:f>IF(COUNTA($A351:$D351)=0,"",SWITCH(LOWER($D351),"buy",IFERROR(LOOKUP(2,1/($B$1:B350=B351),$P$1:P350),0)+$M351+$N351,"drip",IFERROR(LOOKUP(2,1/($B$1:B350=B351),$P$1:P350),0)+$M351+$N351,"sell",IFERROR(LOOKUP(2,1/($B$1:B350=B351),$P$1:P350),0)-IFERROR(IFERROR(LOOKUP(2,1/($B$1:B350=B351),$P$1:P350),0)/IFERROR(LOOKUP(2,1/($B$1:B350=B351),$O$1:O350),0)*$E351,0),"return_of_capital",IFERROR(LOOKUP(2,1/($B$1:B350=B351),$P$1:P350),0)-ABS($M351),"split",IFERROR(LOOKUP(2,1/($B$1:B350=B351),$P$1:P350),0),IFERROR(LOOKUP(2,1/($B$1:B350=B351),$P$1:P350),0)))</x:f>
      </x:c>
      <x:c r="Q351" t="str">
        <x:f>IFERROR($P351/$O351,"")</x:f>
      </x:c>
      <x:c r="R351" t="str">
        <x:f>IF(LOWER($D351)="sell",$M351-$N351-IFERROR(IFERROR(LOOKUP(2,1/($B$1:B350=B351),$P$1:P350),0)/IFERROR(LOOKUP(2,1/($B$1:B350=B351),$O$1:O350),0)*$E351,0),"")</x:f>
      </x:c>
      <x:c r="S351" t="str">
        <x:f>IF(COUNTA($A351:$D351)=0,"",IF($B351="","Missing symbol",IF($D351="","Missing action",IF(AND(LOWER($D351)="sell",$E351&gt;IFERROR(LOOKUP(2,1/($B$1:B350=B351),$O$1:O350),0)),"Sold more units than available","OK"))))</x:f>
      </x:c>
    </x:row>
    <x:row r="352">
      <x:c r="M352" t="str">
        <x:f>IF(COUNTA($A352:$D352)=0,"",IF($G352&lt;&gt;"",$G352,IF(AND($E352&lt;&gt;"",$F352&lt;&gt;""),$E352*$F352,""))*IF($J352&lt;&gt;"",$J352,1))</x:f>
      </x:c>
      <x:c r="N352" t="str">
        <x:f>IF(COUNTA($A352:$D352)=0,"",IF($H352&lt;&gt;"",$H352,0)*IF($J352&lt;&gt;"",$J352,1))</x:f>
      </x:c>
      <x:c r="O352" t="str">
        <x:f>IF(COUNTA($A352:$D352)=0,"",SWITCH(LOWER($D352),"buy",IFERROR(LOOKUP(2,1/($B$1:B351=B352),$O$1:O351),0)+$E352,"drip",IFERROR(LOOKUP(2,1/($B$1:B351=B352),$O$1:O351),0)+$E352,"sell",IFERROR(LOOKUP(2,1/($B$1:B351=B352),$O$1:O351),0)-$E352,"return_of_capital",IFERROR(LOOKUP(2,1/($B$1:B351=B352),$O$1:O351),0),"split",$E352,IFERROR(LOOKUP(2,1/($B$1:B351=B352),$O$1:O351),0)))</x:f>
      </x:c>
      <x:c r="P352" t="str">
        <x:f>IF(COUNTA($A352:$D352)=0,"",SWITCH(LOWER($D352),"buy",IFERROR(LOOKUP(2,1/($B$1:B351=B352),$P$1:P351),0)+$M352+$N352,"drip",IFERROR(LOOKUP(2,1/($B$1:B351=B352),$P$1:P351),0)+$M352+$N352,"sell",IFERROR(LOOKUP(2,1/($B$1:B351=B352),$P$1:P351),0)-IFERROR(IFERROR(LOOKUP(2,1/($B$1:B351=B352),$P$1:P351),0)/IFERROR(LOOKUP(2,1/($B$1:B351=B352),$O$1:O351),0)*$E352,0),"return_of_capital",IFERROR(LOOKUP(2,1/($B$1:B351=B352),$P$1:P351),0)-ABS($M352),"split",IFERROR(LOOKUP(2,1/($B$1:B351=B352),$P$1:P351),0),IFERROR(LOOKUP(2,1/($B$1:B351=B352),$P$1:P351),0)))</x:f>
      </x:c>
      <x:c r="Q352" t="str">
        <x:f>IFERROR($P352/$O352,"")</x:f>
      </x:c>
      <x:c r="R352" t="str">
        <x:f>IF(LOWER($D352)="sell",$M352-$N352-IFERROR(IFERROR(LOOKUP(2,1/($B$1:B351=B352),$P$1:P351),0)/IFERROR(LOOKUP(2,1/($B$1:B351=B352),$O$1:O351),0)*$E352,0),"")</x:f>
      </x:c>
      <x:c r="S352" t="str">
        <x:f>IF(COUNTA($A352:$D352)=0,"",IF($B352="","Missing symbol",IF($D352="","Missing action",IF(AND(LOWER($D352)="sell",$E352&gt;IFERROR(LOOKUP(2,1/($B$1:B351=B352),$O$1:O351),0)),"Sold more units than available","OK"))))</x:f>
      </x:c>
    </x:row>
    <x:row r="353">
      <x:c r="M353" t="str">
        <x:f>IF(COUNTA($A353:$D353)=0,"",IF($G353&lt;&gt;"",$G353,IF(AND($E353&lt;&gt;"",$F353&lt;&gt;""),$E353*$F353,""))*IF($J353&lt;&gt;"",$J353,1))</x:f>
      </x:c>
      <x:c r="N353" t="str">
        <x:f>IF(COUNTA($A353:$D353)=0,"",IF($H353&lt;&gt;"",$H353,0)*IF($J353&lt;&gt;"",$J353,1))</x:f>
      </x:c>
      <x:c r="O353" t="str">
        <x:f>IF(COUNTA($A353:$D353)=0,"",SWITCH(LOWER($D353),"buy",IFERROR(LOOKUP(2,1/($B$1:B352=B353),$O$1:O352),0)+$E353,"drip",IFERROR(LOOKUP(2,1/($B$1:B352=B353),$O$1:O352),0)+$E353,"sell",IFERROR(LOOKUP(2,1/($B$1:B352=B353),$O$1:O352),0)-$E353,"return_of_capital",IFERROR(LOOKUP(2,1/($B$1:B352=B353),$O$1:O352),0),"split",$E353,IFERROR(LOOKUP(2,1/($B$1:B352=B353),$O$1:O352),0)))</x:f>
      </x:c>
      <x:c r="P353" t="str">
        <x:f>IF(COUNTA($A353:$D353)=0,"",SWITCH(LOWER($D353),"buy",IFERROR(LOOKUP(2,1/($B$1:B352=B353),$P$1:P352),0)+$M353+$N353,"drip",IFERROR(LOOKUP(2,1/($B$1:B352=B353),$P$1:P352),0)+$M353+$N353,"sell",IFERROR(LOOKUP(2,1/($B$1:B352=B353),$P$1:P352),0)-IFERROR(IFERROR(LOOKUP(2,1/($B$1:B352=B353),$P$1:P352),0)/IFERROR(LOOKUP(2,1/($B$1:B352=B353),$O$1:O352),0)*$E353,0),"return_of_capital",IFERROR(LOOKUP(2,1/($B$1:B352=B353),$P$1:P352),0)-ABS($M353),"split",IFERROR(LOOKUP(2,1/($B$1:B352=B353),$P$1:P352),0),IFERROR(LOOKUP(2,1/($B$1:B352=B353),$P$1:P352),0)))</x:f>
      </x:c>
      <x:c r="Q353" t="str">
        <x:f>IFERROR($P353/$O353,"")</x:f>
      </x:c>
      <x:c r="R353" t="str">
        <x:f>IF(LOWER($D353)="sell",$M353-$N353-IFERROR(IFERROR(LOOKUP(2,1/($B$1:B352=B353),$P$1:P352),0)/IFERROR(LOOKUP(2,1/($B$1:B352=B353),$O$1:O352),0)*$E353,0),"")</x:f>
      </x:c>
      <x:c r="S353" t="str">
        <x:f>IF(COUNTA($A353:$D353)=0,"",IF($B353="","Missing symbol",IF($D353="","Missing action",IF(AND(LOWER($D353)="sell",$E353&gt;IFERROR(LOOKUP(2,1/($B$1:B352=B353),$O$1:O352),0)),"Sold more units than available","OK"))))</x:f>
      </x:c>
    </x:row>
    <x:row r="354">
      <x:c r="M354" t="str">
        <x:f>IF(COUNTA($A354:$D354)=0,"",IF($G354&lt;&gt;"",$G354,IF(AND($E354&lt;&gt;"",$F354&lt;&gt;""),$E354*$F354,""))*IF($J354&lt;&gt;"",$J354,1))</x:f>
      </x:c>
      <x:c r="N354" t="str">
        <x:f>IF(COUNTA($A354:$D354)=0,"",IF($H354&lt;&gt;"",$H354,0)*IF($J354&lt;&gt;"",$J354,1))</x:f>
      </x:c>
      <x:c r="O354" t="str">
        <x:f>IF(COUNTA($A354:$D354)=0,"",SWITCH(LOWER($D354),"buy",IFERROR(LOOKUP(2,1/($B$1:B353=B354),$O$1:O353),0)+$E354,"drip",IFERROR(LOOKUP(2,1/($B$1:B353=B354),$O$1:O353),0)+$E354,"sell",IFERROR(LOOKUP(2,1/($B$1:B353=B354),$O$1:O353),0)-$E354,"return_of_capital",IFERROR(LOOKUP(2,1/($B$1:B353=B354),$O$1:O353),0),"split",$E354,IFERROR(LOOKUP(2,1/($B$1:B353=B354),$O$1:O353),0)))</x:f>
      </x:c>
      <x:c r="P354" t="str">
        <x:f>IF(COUNTA($A354:$D354)=0,"",SWITCH(LOWER($D354),"buy",IFERROR(LOOKUP(2,1/($B$1:B353=B354),$P$1:P353),0)+$M354+$N354,"drip",IFERROR(LOOKUP(2,1/($B$1:B353=B354),$P$1:P353),0)+$M354+$N354,"sell",IFERROR(LOOKUP(2,1/($B$1:B353=B354),$P$1:P353),0)-IFERROR(IFERROR(LOOKUP(2,1/($B$1:B353=B354),$P$1:P353),0)/IFERROR(LOOKUP(2,1/($B$1:B353=B354),$O$1:O353),0)*$E354,0),"return_of_capital",IFERROR(LOOKUP(2,1/($B$1:B353=B354),$P$1:P353),0)-ABS($M354),"split",IFERROR(LOOKUP(2,1/($B$1:B353=B354),$P$1:P353),0),IFERROR(LOOKUP(2,1/($B$1:B353=B354),$P$1:P353),0)))</x:f>
      </x:c>
      <x:c r="Q354" t="str">
        <x:f>IFERROR($P354/$O354,"")</x:f>
      </x:c>
      <x:c r="R354" t="str">
        <x:f>IF(LOWER($D354)="sell",$M354-$N354-IFERROR(IFERROR(LOOKUP(2,1/($B$1:B353=B354),$P$1:P353),0)/IFERROR(LOOKUP(2,1/($B$1:B353=B354),$O$1:O353),0)*$E354,0),"")</x:f>
      </x:c>
      <x:c r="S354" t="str">
        <x:f>IF(COUNTA($A354:$D354)=0,"",IF($B354="","Missing symbol",IF($D354="","Missing action",IF(AND(LOWER($D354)="sell",$E354&gt;IFERROR(LOOKUP(2,1/($B$1:B353=B354),$O$1:O353),0)),"Sold more units than available","OK"))))</x:f>
      </x:c>
    </x:row>
    <x:row r="355">
      <x:c r="M355" t="str">
        <x:f>IF(COUNTA($A355:$D355)=0,"",IF($G355&lt;&gt;"",$G355,IF(AND($E355&lt;&gt;"",$F355&lt;&gt;""),$E355*$F355,""))*IF($J355&lt;&gt;"",$J355,1))</x:f>
      </x:c>
      <x:c r="N355" t="str">
        <x:f>IF(COUNTA($A355:$D355)=0,"",IF($H355&lt;&gt;"",$H355,0)*IF($J355&lt;&gt;"",$J355,1))</x:f>
      </x:c>
      <x:c r="O355" t="str">
        <x:f>IF(COUNTA($A355:$D355)=0,"",SWITCH(LOWER($D355),"buy",IFERROR(LOOKUP(2,1/($B$1:B354=B355),$O$1:O354),0)+$E355,"drip",IFERROR(LOOKUP(2,1/($B$1:B354=B355),$O$1:O354),0)+$E355,"sell",IFERROR(LOOKUP(2,1/($B$1:B354=B355),$O$1:O354),0)-$E355,"return_of_capital",IFERROR(LOOKUP(2,1/($B$1:B354=B355),$O$1:O354),0),"split",$E355,IFERROR(LOOKUP(2,1/($B$1:B354=B355),$O$1:O354),0)))</x:f>
      </x:c>
      <x:c r="P355" t="str">
        <x:f>IF(COUNTA($A355:$D355)=0,"",SWITCH(LOWER($D355),"buy",IFERROR(LOOKUP(2,1/($B$1:B354=B355),$P$1:P354),0)+$M355+$N355,"drip",IFERROR(LOOKUP(2,1/($B$1:B354=B355),$P$1:P354),0)+$M355+$N355,"sell",IFERROR(LOOKUP(2,1/($B$1:B354=B355),$P$1:P354),0)-IFERROR(IFERROR(LOOKUP(2,1/($B$1:B354=B355),$P$1:P354),0)/IFERROR(LOOKUP(2,1/($B$1:B354=B355),$O$1:O354),0)*$E355,0),"return_of_capital",IFERROR(LOOKUP(2,1/($B$1:B354=B355),$P$1:P354),0)-ABS($M355),"split",IFERROR(LOOKUP(2,1/($B$1:B354=B355),$P$1:P354),0),IFERROR(LOOKUP(2,1/($B$1:B354=B355),$P$1:P354),0)))</x:f>
      </x:c>
      <x:c r="Q355" t="str">
        <x:f>IFERROR($P355/$O355,"")</x:f>
      </x:c>
      <x:c r="R355" t="str">
        <x:f>IF(LOWER($D355)="sell",$M355-$N355-IFERROR(IFERROR(LOOKUP(2,1/($B$1:B354=B355),$P$1:P354),0)/IFERROR(LOOKUP(2,1/($B$1:B354=B355),$O$1:O354),0)*$E355,0),"")</x:f>
      </x:c>
      <x:c r="S355" t="str">
        <x:f>IF(COUNTA($A355:$D355)=0,"",IF($B355="","Missing symbol",IF($D355="","Missing action",IF(AND(LOWER($D355)="sell",$E355&gt;IFERROR(LOOKUP(2,1/($B$1:B354=B355),$O$1:O354),0)),"Sold more units than available","OK"))))</x:f>
      </x:c>
    </x:row>
    <x:row r="356">
      <x:c r="M356" t="str">
        <x:f>IF(COUNTA($A356:$D356)=0,"",IF($G356&lt;&gt;"",$G356,IF(AND($E356&lt;&gt;"",$F356&lt;&gt;""),$E356*$F356,""))*IF($J356&lt;&gt;"",$J356,1))</x:f>
      </x:c>
      <x:c r="N356" t="str">
        <x:f>IF(COUNTA($A356:$D356)=0,"",IF($H356&lt;&gt;"",$H356,0)*IF($J356&lt;&gt;"",$J356,1))</x:f>
      </x:c>
      <x:c r="O356" t="str">
        <x:f>IF(COUNTA($A356:$D356)=0,"",SWITCH(LOWER($D356),"buy",IFERROR(LOOKUP(2,1/($B$1:B355=B356),$O$1:O355),0)+$E356,"drip",IFERROR(LOOKUP(2,1/($B$1:B355=B356),$O$1:O355),0)+$E356,"sell",IFERROR(LOOKUP(2,1/($B$1:B355=B356),$O$1:O355),0)-$E356,"return_of_capital",IFERROR(LOOKUP(2,1/($B$1:B355=B356),$O$1:O355),0),"split",$E356,IFERROR(LOOKUP(2,1/($B$1:B355=B356),$O$1:O355),0)))</x:f>
      </x:c>
      <x:c r="P356" t="str">
        <x:f>IF(COUNTA($A356:$D356)=0,"",SWITCH(LOWER($D356),"buy",IFERROR(LOOKUP(2,1/($B$1:B355=B356),$P$1:P355),0)+$M356+$N356,"drip",IFERROR(LOOKUP(2,1/($B$1:B355=B356),$P$1:P355),0)+$M356+$N356,"sell",IFERROR(LOOKUP(2,1/($B$1:B355=B356),$P$1:P355),0)-IFERROR(IFERROR(LOOKUP(2,1/($B$1:B355=B356),$P$1:P355),0)/IFERROR(LOOKUP(2,1/($B$1:B355=B356),$O$1:O355),0)*$E356,0),"return_of_capital",IFERROR(LOOKUP(2,1/($B$1:B355=B356),$P$1:P355),0)-ABS($M356),"split",IFERROR(LOOKUP(2,1/($B$1:B355=B356),$P$1:P355),0),IFERROR(LOOKUP(2,1/($B$1:B355=B356),$P$1:P355),0)))</x:f>
      </x:c>
      <x:c r="Q356" t="str">
        <x:f>IFERROR($P356/$O356,"")</x:f>
      </x:c>
      <x:c r="R356" t="str">
        <x:f>IF(LOWER($D356)="sell",$M356-$N356-IFERROR(IFERROR(LOOKUP(2,1/($B$1:B355=B356),$P$1:P355),0)/IFERROR(LOOKUP(2,1/($B$1:B355=B356),$O$1:O355),0)*$E356,0),"")</x:f>
      </x:c>
      <x:c r="S356" t="str">
        <x:f>IF(COUNTA($A356:$D356)=0,"",IF($B356="","Missing symbol",IF($D356="","Missing action",IF(AND(LOWER($D356)="sell",$E356&gt;IFERROR(LOOKUP(2,1/($B$1:B355=B356),$O$1:O355),0)),"Sold more units than available","OK"))))</x:f>
      </x:c>
    </x:row>
    <x:row r="357">
      <x:c r="M357" t="str">
        <x:f>IF(COUNTA($A357:$D357)=0,"",IF($G357&lt;&gt;"",$G357,IF(AND($E357&lt;&gt;"",$F357&lt;&gt;""),$E357*$F357,""))*IF($J357&lt;&gt;"",$J357,1))</x:f>
      </x:c>
      <x:c r="N357" t="str">
        <x:f>IF(COUNTA($A357:$D357)=0,"",IF($H357&lt;&gt;"",$H357,0)*IF($J357&lt;&gt;"",$J357,1))</x:f>
      </x:c>
      <x:c r="O357" t="str">
        <x:f>IF(COUNTA($A357:$D357)=0,"",SWITCH(LOWER($D357),"buy",IFERROR(LOOKUP(2,1/($B$1:B356=B357),$O$1:O356),0)+$E357,"drip",IFERROR(LOOKUP(2,1/($B$1:B356=B357),$O$1:O356),0)+$E357,"sell",IFERROR(LOOKUP(2,1/($B$1:B356=B357),$O$1:O356),0)-$E357,"return_of_capital",IFERROR(LOOKUP(2,1/($B$1:B356=B357),$O$1:O356),0),"split",$E357,IFERROR(LOOKUP(2,1/($B$1:B356=B357),$O$1:O356),0)))</x:f>
      </x:c>
      <x:c r="P357" t="str">
        <x:f>IF(COUNTA($A357:$D357)=0,"",SWITCH(LOWER($D357),"buy",IFERROR(LOOKUP(2,1/($B$1:B356=B357),$P$1:P356),0)+$M357+$N357,"drip",IFERROR(LOOKUP(2,1/($B$1:B356=B357),$P$1:P356),0)+$M357+$N357,"sell",IFERROR(LOOKUP(2,1/($B$1:B356=B357),$P$1:P356),0)-IFERROR(IFERROR(LOOKUP(2,1/($B$1:B356=B357),$P$1:P356),0)/IFERROR(LOOKUP(2,1/($B$1:B356=B357),$O$1:O356),0)*$E357,0),"return_of_capital",IFERROR(LOOKUP(2,1/($B$1:B356=B357),$P$1:P356),0)-ABS($M357),"split",IFERROR(LOOKUP(2,1/($B$1:B356=B357),$P$1:P356),0),IFERROR(LOOKUP(2,1/($B$1:B356=B357),$P$1:P356),0)))</x:f>
      </x:c>
      <x:c r="Q357" t="str">
        <x:f>IFERROR($P357/$O357,"")</x:f>
      </x:c>
      <x:c r="R357" t="str">
        <x:f>IF(LOWER($D357)="sell",$M357-$N357-IFERROR(IFERROR(LOOKUP(2,1/($B$1:B356=B357),$P$1:P356),0)/IFERROR(LOOKUP(2,1/($B$1:B356=B357),$O$1:O356),0)*$E357,0),"")</x:f>
      </x:c>
      <x:c r="S357" t="str">
        <x:f>IF(COUNTA($A357:$D357)=0,"",IF($B357="","Missing symbol",IF($D357="","Missing action",IF(AND(LOWER($D357)="sell",$E357&gt;IFERROR(LOOKUP(2,1/($B$1:B356=B357),$O$1:O356),0)),"Sold more units than available","OK"))))</x:f>
      </x:c>
    </x:row>
    <x:row r="358">
      <x:c r="M358" t="str">
        <x:f>IF(COUNTA($A358:$D358)=0,"",IF($G358&lt;&gt;"",$G358,IF(AND($E358&lt;&gt;"",$F358&lt;&gt;""),$E358*$F358,""))*IF($J358&lt;&gt;"",$J358,1))</x:f>
      </x:c>
      <x:c r="N358" t="str">
        <x:f>IF(COUNTA($A358:$D358)=0,"",IF($H358&lt;&gt;"",$H358,0)*IF($J358&lt;&gt;"",$J358,1))</x:f>
      </x:c>
      <x:c r="O358" t="str">
        <x:f>IF(COUNTA($A358:$D358)=0,"",SWITCH(LOWER($D358),"buy",IFERROR(LOOKUP(2,1/($B$1:B357=B358),$O$1:O357),0)+$E358,"drip",IFERROR(LOOKUP(2,1/($B$1:B357=B358),$O$1:O357),0)+$E358,"sell",IFERROR(LOOKUP(2,1/($B$1:B357=B358),$O$1:O357),0)-$E358,"return_of_capital",IFERROR(LOOKUP(2,1/($B$1:B357=B358),$O$1:O357),0),"split",$E358,IFERROR(LOOKUP(2,1/($B$1:B357=B358),$O$1:O357),0)))</x:f>
      </x:c>
      <x:c r="P358" t="str">
        <x:f>IF(COUNTA($A358:$D358)=0,"",SWITCH(LOWER($D358),"buy",IFERROR(LOOKUP(2,1/($B$1:B357=B358),$P$1:P357),0)+$M358+$N358,"drip",IFERROR(LOOKUP(2,1/($B$1:B357=B358),$P$1:P357),0)+$M358+$N358,"sell",IFERROR(LOOKUP(2,1/($B$1:B357=B358),$P$1:P357),0)-IFERROR(IFERROR(LOOKUP(2,1/($B$1:B357=B358),$P$1:P357),0)/IFERROR(LOOKUP(2,1/($B$1:B357=B358),$O$1:O357),0)*$E358,0),"return_of_capital",IFERROR(LOOKUP(2,1/($B$1:B357=B358),$P$1:P357),0)-ABS($M358),"split",IFERROR(LOOKUP(2,1/($B$1:B357=B358),$P$1:P357),0),IFERROR(LOOKUP(2,1/($B$1:B357=B358),$P$1:P357),0)))</x:f>
      </x:c>
      <x:c r="Q358" t="str">
        <x:f>IFERROR($P358/$O358,"")</x:f>
      </x:c>
      <x:c r="R358" t="str">
        <x:f>IF(LOWER($D358)="sell",$M358-$N358-IFERROR(IFERROR(LOOKUP(2,1/($B$1:B357=B358),$P$1:P357),0)/IFERROR(LOOKUP(2,1/($B$1:B357=B358),$O$1:O357),0)*$E358,0),"")</x:f>
      </x:c>
      <x:c r="S358" t="str">
        <x:f>IF(COUNTA($A358:$D358)=0,"",IF($B358="","Missing symbol",IF($D358="","Missing action",IF(AND(LOWER($D358)="sell",$E358&gt;IFERROR(LOOKUP(2,1/($B$1:B357=B358),$O$1:O357),0)),"Sold more units than available","OK"))))</x:f>
      </x:c>
    </x:row>
    <x:row r="359">
      <x:c r="M359" t="str">
        <x:f>IF(COUNTA($A359:$D359)=0,"",IF($G359&lt;&gt;"",$G359,IF(AND($E359&lt;&gt;"",$F359&lt;&gt;""),$E359*$F359,""))*IF($J359&lt;&gt;"",$J359,1))</x:f>
      </x:c>
      <x:c r="N359" t="str">
        <x:f>IF(COUNTA($A359:$D359)=0,"",IF($H359&lt;&gt;"",$H359,0)*IF($J359&lt;&gt;"",$J359,1))</x:f>
      </x:c>
      <x:c r="O359" t="str">
        <x:f>IF(COUNTA($A359:$D359)=0,"",SWITCH(LOWER($D359),"buy",IFERROR(LOOKUP(2,1/($B$1:B358=B359),$O$1:O358),0)+$E359,"drip",IFERROR(LOOKUP(2,1/($B$1:B358=B359),$O$1:O358),0)+$E359,"sell",IFERROR(LOOKUP(2,1/($B$1:B358=B359),$O$1:O358),0)-$E359,"return_of_capital",IFERROR(LOOKUP(2,1/($B$1:B358=B359),$O$1:O358),0),"split",$E359,IFERROR(LOOKUP(2,1/($B$1:B358=B359),$O$1:O358),0)))</x:f>
      </x:c>
      <x:c r="P359" t="str">
        <x:f>IF(COUNTA($A359:$D359)=0,"",SWITCH(LOWER($D359),"buy",IFERROR(LOOKUP(2,1/($B$1:B358=B359),$P$1:P358),0)+$M359+$N359,"drip",IFERROR(LOOKUP(2,1/($B$1:B358=B359),$P$1:P358),0)+$M359+$N359,"sell",IFERROR(LOOKUP(2,1/($B$1:B358=B359),$P$1:P358),0)-IFERROR(IFERROR(LOOKUP(2,1/($B$1:B358=B359),$P$1:P358),0)/IFERROR(LOOKUP(2,1/($B$1:B358=B359),$O$1:O358),0)*$E359,0),"return_of_capital",IFERROR(LOOKUP(2,1/($B$1:B358=B359),$P$1:P358),0)-ABS($M359),"split",IFERROR(LOOKUP(2,1/($B$1:B358=B359),$P$1:P358),0),IFERROR(LOOKUP(2,1/($B$1:B358=B359),$P$1:P358),0)))</x:f>
      </x:c>
      <x:c r="Q359" t="str">
        <x:f>IFERROR($P359/$O359,"")</x:f>
      </x:c>
      <x:c r="R359" t="str">
        <x:f>IF(LOWER($D359)="sell",$M359-$N359-IFERROR(IFERROR(LOOKUP(2,1/($B$1:B358=B359),$P$1:P358),0)/IFERROR(LOOKUP(2,1/($B$1:B358=B359),$O$1:O358),0)*$E359,0),"")</x:f>
      </x:c>
      <x:c r="S359" t="str">
        <x:f>IF(COUNTA($A359:$D359)=0,"",IF($B359="","Missing symbol",IF($D359="","Missing action",IF(AND(LOWER($D359)="sell",$E359&gt;IFERROR(LOOKUP(2,1/($B$1:B358=B359),$O$1:O358),0)),"Sold more units than available","OK"))))</x:f>
      </x:c>
    </x:row>
    <x:row r="360">
      <x:c r="M360" t="str">
        <x:f>IF(COUNTA($A360:$D360)=0,"",IF($G360&lt;&gt;"",$G360,IF(AND($E360&lt;&gt;"",$F360&lt;&gt;""),$E360*$F360,""))*IF($J360&lt;&gt;"",$J360,1))</x:f>
      </x:c>
      <x:c r="N360" t="str">
        <x:f>IF(COUNTA($A360:$D360)=0,"",IF($H360&lt;&gt;"",$H360,0)*IF($J360&lt;&gt;"",$J360,1))</x:f>
      </x:c>
      <x:c r="O360" t="str">
        <x:f>IF(COUNTA($A360:$D360)=0,"",SWITCH(LOWER($D360),"buy",IFERROR(LOOKUP(2,1/($B$1:B359=B360),$O$1:O359),0)+$E360,"drip",IFERROR(LOOKUP(2,1/($B$1:B359=B360),$O$1:O359),0)+$E360,"sell",IFERROR(LOOKUP(2,1/($B$1:B359=B360),$O$1:O359),0)-$E360,"return_of_capital",IFERROR(LOOKUP(2,1/($B$1:B359=B360),$O$1:O359),0),"split",$E360,IFERROR(LOOKUP(2,1/($B$1:B359=B360),$O$1:O359),0)))</x:f>
      </x:c>
      <x:c r="P360" t="str">
        <x:f>IF(COUNTA($A360:$D360)=0,"",SWITCH(LOWER($D360),"buy",IFERROR(LOOKUP(2,1/($B$1:B359=B360),$P$1:P359),0)+$M360+$N360,"drip",IFERROR(LOOKUP(2,1/($B$1:B359=B360),$P$1:P359),0)+$M360+$N360,"sell",IFERROR(LOOKUP(2,1/($B$1:B359=B360),$P$1:P359),0)-IFERROR(IFERROR(LOOKUP(2,1/($B$1:B359=B360),$P$1:P359),0)/IFERROR(LOOKUP(2,1/($B$1:B359=B360),$O$1:O359),0)*$E360,0),"return_of_capital",IFERROR(LOOKUP(2,1/($B$1:B359=B360),$P$1:P359),0)-ABS($M360),"split",IFERROR(LOOKUP(2,1/($B$1:B359=B360),$P$1:P359),0),IFERROR(LOOKUP(2,1/($B$1:B359=B360),$P$1:P359),0)))</x:f>
      </x:c>
      <x:c r="Q360" t="str">
        <x:f>IFERROR($P360/$O360,"")</x:f>
      </x:c>
      <x:c r="R360" t="str">
        <x:f>IF(LOWER($D360)="sell",$M360-$N360-IFERROR(IFERROR(LOOKUP(2,1/($B$1:B359=B360),$P$1:P359),0)/IFERROR(LOOKUP(2,1/($B$1:B359=B360),$O$1:O359),0)*$E360,0),"")</x:f>
      </x:c>
      <x:c r="S360" t="str">
        <x:f>IF(COUNTA($A360:$D360)=0,"",IF($B360="","Missing symbol",IF($D360="","Missing action",IF(AND(LOWER($D360)="sell",$E360&gt;IFERROR(LOOKUP(2,1/($B$1:B359=B360),$O$1:O359),0)),"Sold more units than available","OK"))))</x:f>
      </x:c>
    </x:row>
    <x:row r="361">
      <x:c r="M361" t="str">
        <x:f>IF(COUNTA($A361:$D361)=0,"",IF($G361&lt;&gt;"",$G361,IF(AND($E361&lt;&gt;"",$F361&lt;&gt;""),$E361*$F361,""))*IF($J361&lt;&gt;"",$J361,1))</x:f>
      </x:c>
      <x:c r="N361" t="str">
        <x:f>IF(COUNTA($A361:$D361)=0,"",IF($H361&lt;&gt;"",$H361,0)*IF($J361&lt;&gt;"",$J361,1))</x:f>
      </x:c>
      <x:c r="O361" t="str">
        <x:f>IF(COUNTA($A361:$D361)=0,"",SWITCH(LOWER($D361),"buy",IFERROR(LOOKUP(2,1/($B$1:B360=B361),$O$1:O360),0)+$E361,"drip",IFERROR(LOOKUP(2,1/($B$1:B360=B361),$O$1:O360),0)+$E361,"sell",IFERROR(LOOKUP(2,1/($B$1:B360=B361),$O$1:O360),0)-$E361,"return_of_capital",IFERROR(LOOKUP(2,1/($B$1:B360=B361),$O$1:O360),0),"split",$E361,IFERROR(LOOKUP(2,1/($B$1:B360=B361),$O$1:O360),0)))</x:f>
      </x:c>
      <x:c r="P361" t="str">
        <x:f>IF(COUNTA($A361:$D361)=0,"",SWITCH(LOWER($D361),"buy",IFERROR(LOOKUP(2,1/($B$1:B360=B361),$P$1:P360),0)+$M361+$N361,"drip",IFERROR(LOOKUP(2,1/($B$1:B360=B361),$P$1:P360),0)+$M361+$N361,"sell",IFERROR(LOOKUP(2,1/($B$1:B360=B361),$P$1:P360),0)-IFERROR(IFERROR(LOOKUP(2,1/($B$1:B360=B361),$P$1:P360),0)/IFERROR(LOOKUP(2,1/($B$1:B360=B361),$O$1:O360),0)*$E361,0),"return_of_capital",IFERROR(LOOKUP(2,1/($B$1:B360=B361),$P$1:P360),0)-ABS($M361),"split",IFERROR(LOOKUP(2,1/($B$1:B360=B361),$P$1:P360),0),IFERROR(LOOKUP(2,1/($B$1:B360=B361),$P$1:P360),0)))</x:f>
      </x:c>
      <x:c r="Q361" t="str">
        <x:f>IFERROR($P361/$O361,"")</x:f>
      </x:c>
      <x:c r="R361" t="str">
        <x:f>IF(LOWER($D361)="sell",$M361-$N361-IFERROR(IFERROR(LOOKUP(2,1/($B$1:B360=B361),$P$1:P360),0)/IFERROR(LOOKUP(2,1/($B$1:B360=B361),$O$1:O360),0)*$E361,0),"")</x:f>
      </x:c>
      <x:c r="S361" t="str">
        <x:f>IF(COUNTA($A361:$D361)=0,"",IF($B361="","Missing symbol",IF($D361="","Missing action",IF(AND(LOWER($D361)="sell",$E361&gt;IFERROR(LOOKUP(2,1/($B$1:B360=B361),$O$1:O360),0)),"Sold more units than available","OK"))))</x:f>
      </x:c>
    </x:row>
    <x:row r="362">
      <x:c r="M362" t="str">
        <x:f>IF(COUNTA($A362:$D362)=0,"",IF($G362&lt;&gt;"",$G362,IF(AND($E362&lt;&gt;"",$F362&lt;&gt;""),$E362*$F362,""))*IF($J362&lt;&gt;"",$J362,1))</x:f>
      </x:c>
      <x:c r="N362" t="str">
        <x:f>IF(COUNTA($A362:$D362)=0,"",IF($H362&lt;&gt;"",$H362,0)*IF($J362&lt;&gt;"",$J362,1))</x:f>
      </x:c>
      <x:c r="O362" t="str">
        <x:f>IF(COUNTA($A362:$D362)=0,"",SWITCH(LOWER($D362),"buy",IFERROR(LOOKUP(2,1/($B$1:B361=B362),$O$1:O361),0)+$E362,"drip",IFERROR(LOOKUP(2,1/($B$1:B361=B362),$O$1:O361),0)+$E362,"sell",IFERROR(LOOKUP(2,1/($B$1:B361=B362),$O$1:O361),0)-$E362,"return_of_capital",IFERROR(LOOKUP(2,1/($B$1:B361=B362),$O$1:O361),0),"split",$E362,IFERROR(LOOKUP(2,1/($B$1:B361=B362),$O$1:O361),0)))</x:f>
      </x:c>
      <x:c r="P362" t="str">
        <x:f>IF(COUNTA($A362:$D362)=0,"",SWITCH(LOWER($D362),"buy",IFERROR(LOOKUP(2,1/($B$1:B361=B362),$P$1:P361),0)+$M362+$N362,"drip",IFERROR(LOOKUP(2,1/($B$1:B361=B362),$P$1:P361),0)+$M362+$N362,"sell",IFERROR(LOOKUP(2,1/($B$1:B361=B362),$P$1:P361),0)-IFERROR(IFERROR(LOOKUP(2,1/($B$1:B361=B362),$P$1:P361),0)/IFERROR(LOOKUP(2,1/($B$1:B361=B362),$O$1:O361),0)*$E362,0),"return_of_capital",IFERROR(LOOKUP(2,1/($B$1:B361=B362),$P$1:P361),0)-ABS($M362),"split",IFERROR(LOOKUP(2,1/($B$1:B361=B362),$P$1:P361),0),IFERROR(LOOKUP(2,1/($B$1:B361=B362),$P$1:P361),0)))</x:f>
      </x:c>
      <x:c r="Q362" t="str">
        <x:f>IFERROR($P362/$O362,"")</x:f>
      </x:c>
      <x:c r="R362" t="str">
        <x:f>IF(LOWER($D362)="sell",$M362-$N362-IFERROR(IFERROR(LOOKUP(2,1/($B$1:B361=B362),$P$1:P361),0)/IFERROR(LOOKUP(2,1/($B$1:B361=B362),$O$1:O361),0)*$E362,0),"")</x:f>
      </x:c>
      <x:c r="S362" t="str">
        <x:f>IF(COUNTA($A362:$D362)=0,"",IF($B362="","Missing symbol",IF($D362="","Missing action",IF(AND(LOWER($D362)="sell",$E362&gt;IFERROR(LOOKUP(2,1/($B$1:B361=B362),$O$1:O361),0)),"Sold more units than available","OK"))))</x:f>
      </x:c>
    </x:row>
    <x:row r="363">
      <x:c r="M363" t="str">
        <x:f>IF(COUNTA($A363:$D363)=0,"",IF($G363&lt;&gt;"",$G363,IF(AND($E363&lt;&gt;"",$F363&lt;&gt;""),$E363*$F363,""))*IF($J363&lt;&gt;"",$J363,1))</x:f>
      </x:c>
      <x:c r="N363" t="str">
        <x:f>IF(COUNTA($A363:$D363)=0,"",IF($H363&lt;&gt;"",$H363,0)*IF($J363&lt;&gt;"",$J363,1))</x:f>
      </x:c>
      <x:c r="O363" t="str">
        <x:f>IF(COUNTA($A363:$D363)=0,"",SWITCH(LOWER($D363),"buy",IFERROR(LOOKUP(2,1/($B$1:B362=B363),$O$1:O362),0)+$E363,"drip",IFERROR(LOOKUP(2,1/($B$1:B362=B363),$O$1:O362),0)+$E363,"sell",IFERROR(LOOKUP(2,1/($B$1:B362=B363),$O$1:O362),0)-$E363,"return_of_capital",IFERROR(LOOKUP(2,1/($B$1:B362=B363),$O$1:O362),0),"split",$E363,IFERROR(LOOKUP(2,1/($B$1:B362=B363),$O$1:O362),0)))</x:f>
      </x:c>
      <x:c r="P363" t="str">
        <x:f>IF(COUNTA($A363:$D363)=0,"",SWITCH(LOWER($D363),"buy",IFERROR(LOOKUP(2,1/($B$1:B362=B363),$P$1:P362),0)+$M363+$N363,"drip",IFERROR(LOOKUP(2,1/($B$1:B362=B363),$P$1:P362),0)+$M363+$N363,"sell",IFERROR(LOOKUP(2,1/($B$1:B362=B363),$P$1:P362),0)-IFERROR(IFERROR(LOOKUP(2,1/($B$1:B362=B363),$P$1:P362),0)/IFERROR(LOOKUP(2,1/($B$1:B362=B363),$O$1:O362),0)*$E363,0),"return_of_capital",IFERROR(LOOKUP(2,1/($B$1:B362=B363),$P$1:P362),0)-ABS($M363),"split",IFERROR(LOOKUP(2,1/($B$1:B362=B363),$P$1:P362),0),IFERROR(LOOKUP(2,1/($B$1:B362=B363),$P$1:P362),0)))</x:f>
      </x:c>
      <x:c r="Q363" t="str">
        <x:f>IFERROR($P363/$O363,"")</x:f>
      </x:c>
      <x:c r="R363" t="str">
        <x:f>IF(LOWER($D363)="sell",$M363-$N363-IFERROR(IFERROR(LOOKUP(2,1/($B$1:B362=B363),$P$1:P362),0)/IFERROR(LOOKUP(2,1/($B$1:B362=B363),$O$1:O362),0)*$E363,0),"")</x:f>
      </x:c>
      <x:c r="S363" t="str">
        <x:f>IF(COUNTA($A363:$D363)=0,"",IF($B363="","Missing symbol",IF($D363="","Missing action",IF(AND(LOWER($D363)="sell",$E363&gt;IFERROR(LOOKUP(2,1/($B$1:B362=B363),$O$1:O362),0)),"Sold more units than available","OK"))))</x:f>
      </x:c>
    </x:row>
    <x:row r="364">
      <x:c r="M364" t="str">
        <x:f>IF(COUNTA($A364:$D364)=0,"",IF($G364&lt;&gt;"",$G364,IF(AND($E364&lt;&gt;"",$F364&lt;&gt;""),$E364*$F364,""))*IF($J364&lt;&gt;"",$J364,1))</x:f>
      </x:c>
      <x:c r="N364" t="str">
        <x:f>IF(COUNTA($A364:$D364)=0,"",IF($H364&lt;&gt;"",$H364,0)*IF($J364&lt;&gt;"",$J364,1))</x:f>
      </x:c>
      <x:c r="O364" t="str">
        <x:f>IF(COUNTA($A364:$D364)=0,"",SWITCH(LOWER($D364),"buy",IFERROR(LOOKUP(2,1/($B$1:B363=B364),$O$1:O363),0)+$E364,"drip",IFERROR(LOOKUP(2,1/($B$1:B363=B364),$O$1:O363),0)+$E364,"sell",IFERROR(LOOKUP(2,1/($B$1:B363=B364),$O$1:O363),0)-$E364,"return_of_capital",IFERROR(LOOKUP(2,1/($B$1:B363=B364),$O$1:O363),0),"split",$E364,IFERROR(LOOKUP(2,1/($B$1:B363=B364),$O$1:O363),0)))</x:f>
      </x:c>
      <x:c r="P364" t="str">
        <x:f>IF(COUNTA($A364:$D364)=0,"",SWITCH(LOWER($D364),"buy",IFERROR(LOOKUP(2,1/($B$1:B363=B364),$P$1:P363),0)+$M364+$N364,"drip",IFERROR(LOOKUP(2,1/($B$1:B363=B364),$P$1:P363),0)+$M364+$N364,"sell",IFERROR(LOOKUP(2,1/($B$1:B363=B364),$P$1:P363),0)-IFERROR(IFERROR(LOOKUP(2,1/($B$1:B363=B364),$P$1:P363),0)/IFERROR(LOOKUP(2,1/($B$1:B363=B364),$O$1:O363),0)*$E364,0),"return_of_capital",IFERROR(LOOKUP(2,1/($B$1:B363=B364),$P$1:P363),0)-ABS($M364),"split",IFERROR(LOOKUP(2,1/($B$1:B363=B364),$P$1:P363),0),IFERROR(LOOKUP(2,1/($B$1:B363=B364),$P$1:P363),0)))</x:f>
      </x:c>
      <x:c r="Q364" t="str">
        <x:f>IFERROR($P364/$O364,"")</x:f>
      </x:c>
      <x:c r="R364" t="str">
        <x:f>IF(LOWER($D364)="sell",$M364-$N364-IFERROR(IFERROR(LOOKUP(2,1/($B$1:B363=B364),$P$1:P363),0)/IFERROR(LOOKUP(2,1/($B$1:B363=B364),$O$1:O363),0)*$E364,0),"")</x:f>
      </x:c>
      <x:c r="S364" t="str">
        <x:f>IF(COUNTA($A364:$D364)=0,"",IF($B364="","Missing symbol",IF($D364="","Missing action",IF(AND(LOWER($D364)="sell",$E364&gt;IFERROR(LOOKUP(2,1/($B$1:B363=B364),$O$1:O363),0)),"Sold more units than available","OK"))))</x:f>
      </x:c>
    </x:row>
    <x:row r="365">
      <x:c r="M365" t="str">
        <x:f>IF(COUNTA($A365:$D365)=0,"",IF($G365&lt;&gt;"",$G365,IF(AND($E365&lt;&gt;"",$F365&lt;&gt;""),$E365*$F365,""))*IF($J365&lt;&gt;"",$J365,1))</x:f>
      </x:c>
      <x:c r="N365" t="str">
        <x:f>IF(COUNTA($A365:$D365)=0,"",IF($H365&lt;&gt;"",$H365,0)*IF($J365&lt;&gt;"",$J365,1))</x:f>
      </x:c>
      <x:c r="O365" t="str">
        <x:f>IF(COUNTA($A365:$D365)=0,"",SWITCH(LOWER($D365),"buy",IFERROR(LOOKUP(2,1/($B$1:B364=B365),$O$1:O364),0)+$E365,"drip",IFERROR(LOOKUP(2,1/($B$1:B364=B365),$O$1:O364),0)+$E365,"sell",IFERROR(LOOKUP(2,1/($B$1:B364=B365),$O$1:O364),0)-$E365,"return_of_capital",IFERROR(LOOKUP(2,1/($B$1:B364=B365),$O$1:O364),0),"split",$E365,IFERROR(LOOKUP(2,1/($B$1:B364=B365),$O$1:O364),0)))</x:f>
      </x:c>
      <x:c r="P365" t="str">
        <x:f>IF(COUNTA($A365:$D365)=0,"",SWITCH(LOWER($D365),"buy",IFERROR(LOOKUP(2,1/($B$1:B364=B365),$P$1:P364),0)+$M365+$N365,"drip",IFERROR(LOOKUP(2,1/($B$1:B364=B365),$P$1:P364),0)+$M365+$N365,"sell",IFERROR(LOOKUP(2,1/($B$1:B364=B365),$P$1:P364),0)-IFERROR(IFERROR(LOOKUP(2,1/($B$1:B364=B365),$P$1:P364),0)/IFERROR(LOOKUP(2,1/($B$1:B364=B365),$O$1:O364),0)*$E365,0),"return_of_capital",IFERROR(LOOKUP(2,1/($B$1:B364=B365),$P$1:P364),0)-ABS($M365),"split",IFERROR(LOOKUP(2,1/($B$1:B364=B365),$P$1:P364),0),IFERROR(LOOKUP(2,1/($B$1:B364=B365),$P$1:P364),0)))</x:f>
      </x:c>
      <x:c r="Q365" t="str">
        <x:f>IFERROR($P365/$O365,"")</x:f>
      </x:c>
      <x:c r="R365" t="str">
        <x:f>IF(LOWER($D365)="sell",$M365-$N365-IFERROR(IFERROR(LOOKUP(2,1/($B$1:B364=B365),$P$1:P364),0)/IFERROR(LOOKUP(2,1/($B$1:B364=B365),$O$1:O364),0)*$E365,0),"")</x:f>
      </x:c>
      <x:c r="S365" t="str">
        <x:f>IF(COUNTA($A365:$D365)=0,"",IF($B365="","Missing symbol",IF($D365="","Missing action",IF(AND(LOWER($D365)="sell",$E365&gt;IFERROR(LOOKUP(2,1/($B$1:B364=B365),$O$1:O364),0)),"Sold more units than available","OK"))))</x:f>
      </x:c>
    </x:row>
    <x:row r="366">
      <x:c r="M366" t="str">
        <x:f>IF(COUNTA($A366:$D366)=0,"",IF($G366&lt;&gt;"",$G366,IF(AND($E366&lt;&gt;"",$F366&lt;&gt;""),$E366*$F366,""))*IF($J366&lt;&gt;"",$J366,1))</x:f>
      </x:c>
      <x:c r="N366" t="str">
        <x:f>IF(COUNTA($A366:$D366)=0,"",IF($H366&lt;&gt;"",$H366,0)*IF($J366&lt;&gt;"",$J366,1))</x:f>
      </x:c>
      <x:c r="O366" t="str">
        <x:f>IF(COUNTA($A366:$D366)=0,"",SWITCH(LOWER($D366),"buy",IFERROR(LOOKUP(2,1/($B$1:B365=B366),$O$1:O365),0)+$E366,"drip",IFERROR(LOOKUP(2,1/($B$1:B365=B366),$O$1:O365),0)+$E366,"sell",IFERROR(LOOKUP(2,1/($B$1:B365=B366),$O$1:O365),0)-$E366,"return_of_capital",IFERROR(LOOKUP(2,1/($B$1:B365=B366),$O$1:O365),0),"split",$E366,IFERROR(LOOKUP(2,1/($B$1:B365=B366),$O$1:O365),0)))</x:f>
      </x:c>
      <x:c r="P366" t="str">
        <x:f>IF(COUNTA($A366:$D366)=0,"",SWITCH(LOWER($D366),"buy",IFERROR(LOOKUP(2,1/($B$1:B365=B366),$P$1:P365),0)+$M366+$N366,"drip",IFERROR(LOOKUP(2,1/($B$1:B365=B366),$P$1:P365),0)+$M366+$N366,"sell",IFERROR(LOOKUP(2,1/($B$1:B365=B366),$P$1:P365),0)-IFERROR(IFERROR(LOOKUP(2,1/($B$1:B365=B366),$P$1:P365),0)/IFERROR(LOOKUP(2,1/($B$1:B365=B366),$O$1:O365),0)*$E366,0),"return_of_capital",IFERROR(LOOKUP(2,1/($B$1:B365=B366),$P$1:P365),0)-ABS($M366),"split",IFERROR(LOOKUP(2,1/($B$1:B365=B366),$P$1:P365),0),IFERROR(LOOKUP(2,1/($B$1:B365=B366),$P$1:P365),0)))</x:f>
      </x:c>
      <x:c r="Q366" t="str">
        <x:f>IFERROR($P366/$O366,"")</x:f>
      </x:c>
      <x:c r="R366" t="str">
        <x:f>IF(LOWER($D366)="sell",$M366-$N366-IFERROR(IFERROR(LOOKUP(2,1/($B$1:B365=B366),$P$1:P365),0)/IFERROR(LOOKUP(2,1/($B$1:B365=B366),$O$1:O365),0)*$E366,0),"")</x:f>
      </x:c>
      <x:c r="S366" t="str">
        <x:f>IF(COUNTA($A366:$D366)=0,"",IF($B366="","Missing symbol",IF($D366="","Missing action",IF(AND(LOWER($D366)="sell",$E366&gt;IFERROR(LOOKUP(2,1/($B$1:B365=B366),$O$1:O365),0)),"Sold more units than available","OK"))))</x:f>
      </x:c>
    </x:row>
    <x:row r="367">
      <x:c r="M367" t="str">
        <x:f>IF(COUNTA($A367:$D367)=0,"",IF($G367&lt;&gt;"",$G367,IF(AND($E367&lt;&gt;"",$F367&lt;&gt;""),$E367*$F367,""))*IF($J367&lt;&gt;"",$J367,1))</x:f>
      </x:c>
      <x:c r="N367" t="str">
        <x:f>IF(COUNTA($A367:$D367)=0,"",IF($H367&lt;&gt;"",$H367,0)*IF($J367&lt;&gt;"",$J367,1))</x:f>
      </x:c>
      <x:c r="O367" t="str">
        <x:f>IF(COUNTA($A367:$D367)=0,"",SWITCH(LOWER($D367),"buy",IFERROR(LOOKUP(2,1/($B$1:B366=B367),$O$1:O366),0)+$E367,"drip",IFERROR(LOOKUP(2,1/($B$1:B366=B367),$O$1:O366),0)+$E367,"sell",IFERROR(LOOKUP(2,1/($B$1:B366=B367),$O$1:O366),0)-$E367,"return_of_capital",IFERROR(LOOKUP(2,1/($B$1:B366=B367),$O$1:O366),0),"split",$E367,IFERROR(LOOKUP(2,1/($B$1:B366=B367),$O$1:O366),0)))</x:f>
      </x:c>
      <x:c r="P367" t="str">
        <x:f>IF(COUNTA($A367:$D367)=0,"",SWITCH(LOWER($D367),"buy",IFERROR(LOOKUP(2,1/($B$1:B366=B367),$P$1:P366),0)+$M367+$N367,"drip",IFERROR(LOOKUP(2,1/($B$1:B366=B367),$P$1:P366),0)+$M367+$N367,"sell",IFERROR(LOOKUP(2,1/($B$1:B366=B367),$P$1:P366),0)-IFERROR(IFERROR(LOOKUP(2,1/($B$1:B366=B367),$P$1:P366),0)/IFERROR(LOOKUP(2,1/($B$1:B366=B367),$O$1:O366),0)*$E367,0),"return_of_capital",IFERROR(LOOKUP(2,1/($B$1:B366=B367),$P$1:P366),0)-ABS($M367),"split",IFERROR(LOOKUP(2,1/($B$1:B366=B367),$P$1:P366),0),IFERROR(LOOKUP(2,1/($B$1:B366=B367),$P$1:P366),0)))</x:f>
      </x:c>
      <x:c r="Q367" t="str">
        <x:f>IFERROR($P367/$O367,"")</x:f>
      </x:c>
      <x:c r="R367" t="str">
        <x:f>IF(LOWER($D367)="sell",$M367-$N367-IFERROR(IFERROR(LOOKUP(2,1/($B$1:B366=B367),$P$1:P366),0)/IFERROR(LOOKUP(2,1/($B$1:B366=B367),$O$1:O366),0)*$E367,0),"")</x:f>
      </x:c>
      <x:c r="S367" t="str">
        <x:f>IF(COUNTA($A367:$D367)=0,"",IF($B367="","Missing symbol",IF($D367="","Missing action",IF(AND(LOWER($D367)="sell",$E367&gt;IFERROR(LOOKUP(2,1/($B$1:B366=B367),$O$1:O366),0)),"Sold more units than available","OK"))))</x:f>
      </x:c>
    </x:row>
    <x:row r="368">
      <x:c r="M368" t="str">
        <x:f>IF(COUNTA($A368:$D368)=0,"",IF($G368&lt;&gt;"",$G368,IF(AND($E368&lt;&gt;"",$F368&lt;&gt;""),$E368*$F368,""))*IF($J368&lt;&gt;"",$J368,1))</x:f>
      </x:c>
      <x:c r="N368" t="str">
        <x:f>IF(COUNTA($A368:$D368)=0,"",IF($H368&lt;&gt;"",$H368,0)*IF($J368&lt;&gt;"",$J368,1))</x:f>
      </x:c>
      <x:c r="O368" t="str">
        <x:f>IF(COUNTA($A368:$D368)=0,"",SWITCH(LOWER($D368),"buy",IFERROR(LOOKUP(2,1/($B$1:B367=B368),$O$1:O367),0)+$E368,"drip",IFERROR(LOOKUP(2,1/($B$1:B367=B368),$O$1:O367),0)+$E368,"sell",IFERROR(LOOKUP(2,1/($B$1:B367=B368),$O$1:O367),0)-$E368,"return_of_capital",IFERROR(LOOKUP(2,1/($B$1:B367=B368),$O$1:O367),0),"split",$E368,IFERROR(LOOKUP(2,1/($B$1:B367=B368),$O$1:O367),0)))</x:f>
      </x:c>
      <x:c r="P368" t="str">
        <x:f>IF(COUNTA($A368:$D368)=0,"",SWITCH(LOWER($D368),"buy",IFERROR(LOOKUP(2,1/($B$1:B367=B368),$P$1:P367),0)+$M368+$N368,"drip",IFERROR(LOOKUP(2,1/($B$1:B367=B368),$P$1:P367),0)+$M368+$N368,"sell",IFERROR(LOOKUP(2,1/($B$1:B367=B368),$P$1:P367),0)-IFERROR(IFERROR(LOOKUP(2,1/($B$1:B367=B368),$P$1:P367),0)/IFERROR(LOOKUP(2,1/($B$1:B367=B368),$O$1:O367),0)*$E368,0),"return_of_capital",IFERROR(LOOKUP(2,1/($B$1:B367=B368),$P$1:P367),0)-ABS($M368),"split",IFERROR(LOOKUP(2,1/($B$1:B367=B368),$P$1:P367),0),IFERROR(LOOKUP(2,1/($B$1:B367=B368),$P$1:P367),0)))</x:f>
      </x:c>
      <x:c r="Q368" t="str">
        <x:f>IFERROR($P368/$O368,"")</x:f>
      </x:c>
      <x:c r="R368" t="str">
        <x:f>IF(LOWER($D368)="sell",$M368-$N368-IFERROR(IFERROR(LOOKUP(2,1/($B$1:B367=B368),$P$1:P367),0)/IFERROR(LOOKUP(2,1/($B$1:B367=B368),$O$1:O367),0)*$E368,0),"")</x:f>
      </x:c>
      <x:c r="S368" t="str">
        <x:f>IF(COUNTA($A368:$D368)=0,"",IF($B368="","Missing symbol",IF($D368="","Missing action",IF(AND(LOWER($D368)="sell",$E368&gt;IFERROR(LOOKUP(2,1/($B$1:B367=B368),$O$1:O367),0)),"Sold more units than available","OK"))))</x:f>
      </x:c>
    </x:row>
    <x:row r="369">
      <x:c r="M369" t="str">
        <x:f>IF(COUNTA($A369:$D369)=0,"",IF($G369&lt;&gt;"",$G369,IF(AND($E369&lt;&gt;"",$F369&lt;&gt;""),$E369*$F369,""))*IF($J369&lt;&gt;"",$J369,1))</x:f>
      </x:c>
      <x:c r="N369" t="str">
        <x:f>IF(COUNTA($A369:$D369)=0,"",IF($H369&lt;&gt;"",$H369,0)*IF($J369&lt;&gt;"",$J369,1))</x:f>
      </x:c>
      <x:c r="O369" t="str">
        <x:f>IF(COUNTA($A369:$D369)=0,"",SWITCH(LOWER($D369),"buy",IFERROR(LOOKUP(2,1/($B$1:B368=B369),$O$1:O368),0)+$E369,"drip",IFERROR(LOOKUP(2,1/($B$1:B368=B369),$O$1:O368),0)+$E369,"sell",IFERROR(LOOKUP(2,1/($B$1:B368=B369),$O$1:O368),0)-$E369,"return_of_capital",IFERROR(LOOKUP(2,1/($B$1:B368=B369),$O$1:O368),0),"split",$E369,IFERROR(LOOKUP(2,1/($B$1:B368=B369),$O$1:O368),0)))</x:f>
      </x:c>
      <x:c r="P369" t="str">
        <x:f>IF(COUNTA($A369:$D369)=0,"",SWITCH(LOWER($D369),"buy",IFERROR(LOOKUP(2,1/($B$1:B368=B369),$P$1:P368),0)+$M369+$N369,"drip",IFERROR(LOOKUP(2,1/($B$1:B368=B369),$P$1:P368),0)+$M369+$N369,"sell",IFERROR(LOOKUP(2,1/($B$1:B368=B369),$P$1:P368),0)-IFERROR(IFERROR(LOOKUP(2,1/($B$1:B368=B369),$P$1:P368),0)/IFERROR(LOOKUP(2,1/($B$1:B368=B369),$O$1:O368),0)*$E369,0),"return_of_capital",IFERROR(LOOKUP(2,1/($B$1:B368=B369),$P$1:P368),0)-ABS($M369),"split",IFERROR(LOOKUP(2,1/($B$1:B368=B369),$P$1:P368),0),IFERROR(LOOKUP(2,1/($B$1:B368=B369),$P$1:P368),0)))</x:f>
      </x:c>
      <x:c r="Q369" t="str">
        <x:f>IFERROR($P369/$O369,"")</x:f>
      </x:c>
      <x:c r="R369" t="str">
        <x:f>IF(LOWER($D369)="sell",$M369-$N369-IFERROR(IFERROR(LOOKUP(2,1/($B$1:B368=B369),$P$1:P368),0)/IFERROR(LOOKUP(2,1/($B$1:B368=B369),$O$1:O368),0)*$E369,0),"")</x:f>
      </x:c>
      <x:c r="S369" t="str">
        <x:f>IF(COUNTA($A369:$D369)=0,"",IF($B369="","Missing symbol",IF($D369="","Missing action",IF(AND(LOWER($D369)="sell",$E369&gt;IFERROR(LOOKUP(2,1/($B$1:B368=B369),$O$1:O368),0)),"Sold more units than available","OK"))))</x:f>
      </x:c>
    </x:row>
    <x:row r="370">
      <x:c r="M370" t="str">
        <x:f>IF(COUNTA($A370:$D370)=0,"",IF($G370&lt;&gt;"",$G370,IF(AND($E370&lt;&gt;"",$F370&lt;&gt;""),$E370*$F370,""))*IF($J370&lt;&gt;"",$J370,1))</x:f>
      </x:c>
      <x:c r="N370" t="str">
        <x:f>IF(COUNTA($A370:$D370)=0,"",IF($H370&lt;&gt;"",$H370,0)*IF($J370&lt;&gt;"",$J370,1))</x:f>
      </x:c>
      <x:c r="O370" t="str">
        <x:f>IF(COUNTA($A370:$D370)=0,"",SWITCH(LOWER($D370),"buy",IFERROR(LOOKUP(2,1/($B$1:B369=B370),$O$1:O369),0)+$E370,"drip",IFERROR(LOOKUP(2,1/($B$1:B369=B370),$O$1:O369),0)+$E370,"sell",IFERROR(LOOKUP(2,1/($B$1:B369=B370),$O$1:O369),0)-$E370,"return_of_capital",IFERROR(LOOKUP(2,1/($B$1:B369=B370),$O$1:O369),0),"split",$E370,IFERROR(LOOKUP(2,1/($B$1:B369=B370),$O$1:O369),0)))</x:f>
      </x:c>
      <x:c r="P370" t="str">
        <x:f>IF(COUNTA($A370:$D370)=0,"",SWITCH(LOWER($D370),"buy",IFERROR(LOOKUP(2,1/($B$1:B369=B370),$P$1:P369),0)+$M370+$N370,"drip",IFERROR(LOOKUP(2,1/($B$1:B369=B370),$P$1:P369),0)+$M370+$N370,"sell",IFERROR(LOOKUP(2,1/($B$1:B369=B370),$P$1:P369),0)-IFERROR(IFERROR(LOOKUP(2,1/($B$1:B369=B370),$P$1:P369),0)/IFERROR(LOOKUP(2,1/($B$1:B369=B370),$O$1:O369),0)*$E370,0),"return_of_capital",IFERROR(LOOKUP(2,1/($B$1:B369=B370),$P$1:P369),0)-ABS($M370),"split",IFERROR(LOOKUP(2,1/($B$1:B369=B370),$P$1:P369),0),IFERROR(LOOKUP(2,1/($B$1:B369=B370),$P$1:P369),0)))</x:f>
      </x:c>
      <x:c r="Q370" t="str">
        <x:f>IFERROR($P370/$O370,"")</x:f>
      </x:c>
      <x:c r="R370" t="str">
        <x:f>IF(LOWER($D370)="sell",$M370-$N370-IFERROR(IFERROR(LOOKUP(2,1/($B$1:B369=B370),$P$1:P369),0)/IFERROR(LOOKUP(2,1/($B$1:B369=B370),$O$1:O369),0)*$E370,0),"")</x:f>
      </x:c>
      <x:c r="S370" t="str">
        <x:f>IF(COUNTA($A370:$D370)=0,"",IF($B370="","Missing symbol",IF($D370="","Missing action",IF(AND(LOWER($D370)="sell",$E370&gt;IFERROR(LOOKUP(2,1/($B$1:B369=B370),$O$1:O369),0)),"Sold more units than available","OK"))))</x:f>
      </x:c>
    </x:row>
    <x:row r="371">
      <x:c r="M371" t="str">
        <x:f>IF(COUNTA($A371:$D371)=0,"",IF($G371&lt;&gt;"",$G371,IF(AND($E371&lt;&gt;"",$F371&lt;&gt;""),$E371*$F371,""))*IF($J371&lt;&gt;"",$J371,1))</x:f>
      </x:c>
      <x:c r="N371" t="str">
        <x:f>IF(COUNTA($A371:$D371)=0,"",IF($H371&lt;&gt;"",$H371,0)*IF($J371&lt;&gt;"",$J371,1))</x:f>
      </x:c>
      <x:c r="O371" t="str">
        <x:f>IF(COUNTA($A371:$D371)=0,"",SWITCH(LOWER($D371),"buy",IFERROR(LOOKUP(2,1/($B$1:B370=B371),$O$1:O370),0)+$E371,"drip",IFERROR(LOOKUP(2,1/($B$1:B370=B371),$O$1:O370),0)+$E371,"sell",IFERROR(LOOKUP(2,1/($B$1:B370=B371),$O$1:O370),0)-$E371,"return_of_capital",IFERROR(LOOKUP(2,1/($B$1:B370=B371),$O$1:O370),0),"split",$E371,IFERROR(LOOKUP(2,1/($B$1:B370=B371),$O$1:O370),0)))</x:f>
      </x:c>
      <x:c r="P371" t="str">
        <x:f>IF(COUNTA($A371:$D371)=0,"",SWITCH(LOWER($D371),"buy",IFERROR(LOOKUP(2,1/($B$1:B370=B371),$P$1:P370),0)+$M371+$N371,"drip",IFERROR(LOOKUP(2,1/($B$1:B370=B371),$P$1:P370),0)+$M371+$N371,"sell",IFERROR(LOOKUP(2,1/($B$1:B370=B371),$P$1:P370),0)-IFERROR(IFERROR(LOOKUP(2,1/($B$1:B370=B371),$P$1:P370),0)/IFERROR(LOOKUP(2,1/($B$1:B370=B371),$O$1:O370),0)*$E371,0),"return_of_capital",IFERROR(LOOKUP(2,1/($B$1:B370=B371),$P$1:P370),0)-ABS($M371),"split",IFERROR(LOOKUP(2,1/($B$1:B370=B371),$P$1:P370),0),IFERROR(LOOKUP(2,1/($B$1:B370=B371),$P$1:P370),0)))</x:f>
      </x:c>
      <x:c r="Q371" t="str">
        <x:f>IFERROR($P371/$O371,"")</x:f>
      </x:c>
      <x:c r="R371" t="str">
        <x:f>IF(LOWER($D371)="sell",$M371-$N371-IFERROR(IFERROR(LOOKUP(2,1/($B$1:B370=B371),$P$1:P370),0)/IFERROR(LOOKUP(2,1/($B$1:B370=B371),$O$1:O370),0)*$E371,0),"")</x:f>
      </x:c>
      <x:c r="S371" t="str">
        <x:f>IF(COUNTA($A371:$D371)=0,"",IF($B371="","Missing symbol",IF($D371="","Missing action",IF(AND(LOWER($D371)="sell",$E371&gt;IFERROR(LOOKUP(2,1/($B$1:B370=B371),$O$1:O370),0)),"Sold more units than available","OK"))))</x:f>
      </x:c>
    </x:row>
    <x:row r="372">
      <x:c r="M372" t="str">
        <x:f>IF(COUNTA($A372:$D372)=0,"",IF($G372&lt;&gt;"",$G372,IF(AND($E372&lt;&gt;"",$F372&lt;&gt;""),$E372*$F372,""))*IF($J372&lt;&gt;"",$J372,1))</x:f>
      </x:c>
      <x:c r="N372" t="str">
        <x:f>IF(COUNTA($A372:$D372)=0,"",IF($H372&lt;&gt;"",$H372,0)*IF($J372&lt;&gt;"",$J372,1))</x:f>
      </x:c>
      <x:c r="O372" t="str">
        <x:f>IF(COUNTA($A372:$D372)=0,"",SWITCH(LOWER($D372),"buy",IFERROR(LOOKUP(2,1/($B$1:B371=B372),$O$1:O371),0)+$E372,"drip",IFERROR(LOOKUP(2,1/($B$1:B371=B372),$O$1:O371),0)+$E372,"sell",IFERROR(LOOKUP(2,1/($B$1:B371=B372),$O$1:O371),0)-$E372,"return_of_capital",IFERROR(LOOKUP(2,1/($B$1:B371=B372),$O$1:O371),0),"split",$E372,IFERROR(LOOKUP(2,1/($B$1:B371=B372),$O$1:O371),0)))</x:f>
      </x:c>
      <x:c r="P372" t="str">
        <x:f>IF(COUNTA($A372:$D372)=0,"",SWITCH(LOWER($D372),"buy",IFERROR(LOOKUP(2,1/($B$1:B371=B372),$P$1:P371),0)+$M372+$N372,"drip",IFERROR(LOOKUP(2,1/($B$1:B371=B372),$P$1:P371),0)+$M372+$N372,"sell",IFERROR(LOOKUP(2,1/($B$1:B371=B372),$P$1:P371),0)-IFERROR(IFERROR(LOOKUP(2,1/($B$1:B371=B372),$P$1:P371),0)/IFERROR(LOOKUP(2,1/($B$1:B371=B372),$O$1:O371),0)*$E372,0),"return_of_capital",IFERROR(LOOKUP(2,1/($B$1:B371=B372),$P$1:P371),0)-ABS($M372),"split",IFERROR(LOOKUP(2,1/($B$1:B371=B372),$P$1:P371),0),IFERROR(LOOKUP(2,1/($B$1:B371=B372),$P$1:P371),0)))</x:f>
      </x:c>
      <x:c r="Q372" t="str">
        <x:f>IFERROR($P372/$O372,"")</x:f>
      </x:c>
      <x:c r="R372" t="str">
        <x:f>IF(LOWER($D372)="sell",$M372-$N372-IFERROR(IFERROR(LOOKUP(2,1/($B$1:B371=B372),$P$1:P371),0)/IFERROR(LOOKUP(2,1/($B$1:B371=B372),$O$1:O371),0)*$E372,0),"")</x:f>
      </x:c>
      <x:c r="S372" t="str">
        <x:f>IF(COUNTA($A372:$D372)=0,"",IF($B372="","Missing symbol",IF($D372="","Missing action",IF(AND(LOWER($D372)="sell",$E372&gt;IFERROR(LOOKUP(2,1/($B$1:B371=B372),$O$1:O371),0)),"Sold more units than available","OK"))))</x:f>
      </x:c>
    </x:row>
    <x:row r="373">
      <x:c r="M373" t="str">
        <x:f>IF(COUNTA($A373:$D373)=0,"",IF($G373&lt;&gt;"",$G373,IF(AND($E373&lt;&gt;"",$F373&lt;&gt;""),$E373*$F373,""))*IF($J373&lt;&gt;"",$J373,1))</x:f>
      </x:c>
      <x:c r="N373" t="str">
        <x:f>IF(COUNTA($A373:$D373)=0,"",IF($H373&lt;&gt;"",$H373,0)*IF($J373&lt;&gt;"",$J373,1))</x:f>
      </x:c>
      <x:c r="O373" t="str">
        <x:f>IF(COUNTA($A373:$D373)=0,"",SWITCH(LOWER($D373),"buy",IFERROR(LOOKUP(2,1/($B$1:B372=B373),$O$1:O372),0)+$E373,"drip",IFERROR(LOOKUP(2,1/($B$1:B372=B373),$O$1:O372),0)+$E373,"sell",IFERROR(LOOKUP(2,1/($B$1:B372=B373),$O$1:O372),0)-$E373,"return_of_capital",IFERROR(LOOKUP(2,1/($B$1:B372=B373),$O$1:O372),0),"split",$E373,IFERROR(LOOKUP(2,1/($B$1:B372=B373),$O$1:O372),0)))</x:f>
      </x:c>
      <x:c r="P373" t="str">
        <x:f>IF(COUNTA($A373:$D373)=0,"",SWITCH(LOWER($D373),"buy",IFERROR(LOOKUP(2,1/($B$1:B372=B373),$P$1:P372),0)+$M373+$N373,"drip",IFERROR(LOOKUP(2,1/($B$1:B372=B373),$P$1:P372),0)+$M373+$N373,"sell",IFERROR(LOOKUP(2,1/($B$1:B372=B373),$P$1:P372),0)-IFERROR(IFERROR(LOOKUP(2,1/($B$1:B372=B373),$P$1:P372),0)/IFERROR(LOOKUP(2,1/($B$1:B372=B373),$O$1:O372),0)*$E373,0),"return_of_capital",IFERROR(LOOKUP(2,1/($B$1:B372=B373),$P$1:P372),0)-ABS($M373),"split",IFERROR(LOOKUP(2,1/($B$1:B372=B373),$P$1:P372),0),IFERROR(LOOKUP(2,1/($B$1:B372=B373),$P$1:P372),0)))</x:f>
      </x:c>
      <x:c r="Q373" t="str">
        <x:f>IFERROR($P373/$O373,"")</x:f>
      </x:c>
      <x:c r="R373" t="str">
        <x:f>IF(LOWER($D373)="sell",$M373-$N373-IFERROR(IFERROR(LOOKUP(2,1/($B$1:B372=B373),$P$1:P372),0)/IFERROR(LOOKUP(2,1/($B$1:B372=B373),$O$1:O372),0)*$E373,0),"")</x:f>
      </x:c>
      <x:c r="S373" t="str">
        <x:f>IF(COUNTA($A373:$D373)=0,"",IF($B373="","Missing symbol",IF($D373="","Missing action",IF(AND(LOWER($D373)="sell",$E373&gt;IFERROR(LOOKUP(2,1/($B$1:B372=B373),$O$1:O372),0)),"Sold more units than available","OK"))))</x:f>
      </x:c>
    </x:row>
    <x:row r="374">
      <x:c r="M374" t="str">
        <x:f>IF(COUNTA($A374:$D374)=0,"",IF($G374&lt;&gt;"",$G374,IF(AND($E374&lt;&gt;"",$F374&lt;&gt;""),$E374*$F374,""))*IF($J374&lt;&gt;"",$J374,1))</x:f>
      </x:c>
      <x:c r="N374" t="str">
        <x:f>IF(COUNTA($A374:$D374)=0,"",IF($H374&lt;&gt;"",$H374,0)*IF($J374&lt;&gt;"",$J374,1))</x:f>
      </x:c>
      <x:c r="O374" t="str">
        <x:f>IF(COUNTA($A374:$D374)=0,"",SWITCH(LOWER($D374),"buy",IFERROR(LOOKUP(2,1/($B$1:B373=B374),$O$1:O373),0)+$E374,"drip",IFERROR(LOOKUP(2,1/($B$1:B373=B374),$O$1:O373),0)+$E374,"sell",IFERROR(LOOKUP(2,1/($B$1:B373=B374),$O$1:O373),0)-$E374,"return_of_capital",IFERROR(LOOKUP(2,1/($B$1:B373=B374),$O$1:O373),0),"split",$E374,IFERROR(LOOKUP(2,1/($B$1:B373=B374),$O$1:O373),0)))</x:f>
      </x:c>
      <x:c r="P374" t="str">
        <x:f>IF(COUNTA($A374:$D374)=0,"",SWITCH(LOWER($D374),"buy",IFERROR(LOOKUP(2,1/($B$1:B373=B374),$P$1:P373),0)+$M374+$N374,"drip",IFERROR(LOOKUP(2,1/($B$1:B373=B374),$P$1:P373),0)+$M374+$N374,"sell",IFERROR(LOOKUP(2,1/($B$1:B373=B374),$P$1:P373),0)-IFERROR(IFERROR(LOOKUP(2,1/($B$1:B373=B374),$P$1:P373),0)/IFERROR(LOOKUP(2,1/($B$1:B373=B374),$O$1:O373),0)*$E374,0),"return_of_capital",IFERROR(LOOKUP(2,1/($B$1:B373=B374),$P$1:P373),0)-ABS($M374),"split",IFERROR(LOOKUP(2,1/($B$1:B373=B374),$P$1:P373),0),IFERROR(LOOKUP(2,1/($B$1:B373=B374),$P$1:P373),0)))</x:f>
      </x:c>
      <x:c r="Q374" t="str">
        <x:f>IFERROR($P374/$O374,"")</x:f>
      </x:c>
      <x:c r="R374" t="str">
        <x:f>IF(LOWER($D374)="sell",$M374-$N374-IFERROR(IFERROR(LOOKUP(2,1/($B$1:B373=B374),$P$1:P373),0)/IFERROR(LOOKUP(2,1/($B$1:B373=B374),$O$1:O373),0)*$E374,0),"")</x:f>
      </x:c>
      <x:c r="S374" t="str">
        <x:f>IF(COUNTA($A374:$D374)=0,"",IF($B374="","Missing symbol",IF($D374="","Missing action",IF(AND(LOWER($D374)="sell",$E374&gt;IFERROR(LOOKUP(2,1/($B$1:B373=B374),$O$1:O373),0)),"Sold more units than available","OK"))))</x:f>
      </x:c>
    </x:row>
    <x:row r="375">
      <x:c r="M375" t="str">
        <x:f>IF(COUNTA($A375:$D375)=0,"",IF($G375&lt;&gt;"",$G375,IF(AND($E375&lt;&gt;"",$F375&lt;&gt;""),$E375*$F375,""))*IF($J375&lt;&gt;"",$J375,1))</x:f>
      </x:c>
      <x:c r="N375" t="str">
        <x:f>IF(COUNTA($A375:$D375)=0,"",IF($H375&lt;&gt;"",$H375,0)*IF($J375&lt;&gt;"",$J375,1))</x:f>
      </x:c>
      <x:c r="O375" t="str">
        <x:f>IF(COUNTA($A375:$D375)=0,"",SWITCH(LOWER($D375),"buy",IFERROR(LOOKUP(2,1/($B$1:B374=B375),$O$1:O374),0)+$E375,"drip",IFERROR(LOOKUP(2,1/($B$1:B374=B375),$O$1:O374),0)+$E375,"sell",IFERROR(LOOKUP(2,1/($B$1:B374=B375),$O$1:O374),0)-$E375,"return_of_capital",IFERROR(LOOKUP(2,1/($B$1:B374=B375),$O$1:O374),0),"split",$E375,IFERROR(LOOKUP(2,1/($B$1:B374=B375),$O$1:O374),0)))</x:f>
      </x:c>
      <x:c r="P375" t="str">
        <x:f>IF(COUNTA($A375:$D375)=0,"",SWITCH(LOWER($D375),"buy",IFERROR(LOOKUP(2,1/($B$1:B374=B375),$P$1:P374),0)+$M375+$N375,"drip",IFERROR(LOOKUP(2,1/($B$1:B374=B375),$P$1:P374),0)+$M375+$N375,"sell",IFERROR(LOOKUP(2,1/($B$1:B374=B375),$P$1:P374),0)-IFERROR(IFERROR(LOOKUP(2,1/($B$1:B374=B375),$P$1:P374),0)/IFERROR(LOOKUP(2,1/($B$1:B374=B375),$O$1:O374),0)*$E375,0),"return_of_capital",IFERROR(LOOKUP(2,1/($B$1:B374=B375),$P$1:P374),0)-ABS($M375),"split",IFERROR(LOOKUP(2,1/($B$1:B374=B375),$P$1:P374),0),IFERROR(LOOKUP(2,1/($B$1:B374=B375),$P$1:P374),0)))</x:f>
      </x:c>
      <x:c r="Q375" t="str">
        <x:f>IFERROR($P375/$O375,"")</x:f>
      </x:c>
      <x:c r="R375" t="str">
        <x:f>IF(LOWER($D375)="sell",$M375-$N375-IFERROR(IFERROR(LOOKUP(2,1/($B$1:B374=B375),$P$1:P374),0)/IFERROR(LOOKUP(2,1/($B$1:B374=B375),$O$1:O374),0)*$E375,0),"")</x:f>
      </x:c>
      <x:c r="S375" t="str">
        <x:f>IF(COUNTA($A375:$D375)=0,"",IF($B375="","Missing symbol",IF($D375="","Missing action",IF(AND(LOWER($D375)="sell",$E375&gt;IFERROR(LOOKUP(2,1/($B$1:B374=B375),$O$1:O374),0)),"Sold more units than available","OK"))))</x:f>
      </x:c>
    </x:row>
    <x:row r="376">
      <x:c r="M376" t="str">
        <x:f>IF(COUNTA($A376:$D376)=0,"",IF($G376&lt;&gt;"",$G376,IF(AND($E376&lt;&gt;"",$F376&lt;&gt;""),$E376*$F376,""))*IF($J376&lt;&gt;"",$J376,1))</x:f>
      </x:c>
      <x:c r="N376" t="str">
        <x:f>IF(COUNTA($A376:$D376)=0,"",IF($H376&lt;&gt;"",$H376,0)*IF($J376&lt;&gt;"",$J376,1))</x:f>
      </x:c>
      <x:c r="O376" t="str">
        <x:f>IF(COUNTA($A376:$D376)=0,"",SWITCH(LOWER($D376),"buy",IFERROR(LOOKUP(2,1/($B$1:B375=B376),$O$1:O375),0)+$E376,"drip",IFERROR(LOOKUP(2,1/($B$1:B375=B376),$O$1:O375),0)+$E376,"sell",IFERROR(LOOKUP(2,1/($B$1:B375=B376),$O$1:O375),0)-$E376,"return_of_capital",IFERROR(LOOKUP(2,1/($B$1:B375=B376),$O$1:O375),0),"split",$E376,IFERROR(LOOKUP(2,1/($B$1:B375=B376),$O$1:O375),0)))</x:f>
      </x:c>
      <x:c r="P376" t="str">
        <x:f>IF(COUNTA($A376:$D376)=0,"",SWITCH(LOWER($D376),"buy",IFERROR(LOOKUP(2,1/($B$1:B375=B376),$P$1:P375),0)+$M376+$N376,"drip",IFERROR(LOOKUP(2,1/($B$1:B375=B376),$P$1:P375),0)+$M376+$N376,"sell",IFERROR(LOOKUP(2,1/($B$1:B375=B376),$P$1:P375),0)-IFERROR(IFERROR(LOOKUP(2,1/($B$1:B375=B376),$P$1:P375),0)/IFERROR(LOOKUP(2,1/($B$1:B375=B376),$O$1:O375),0)*$E376,0),"return_of_capital",IFERROR(LOOKUP(2,1/($B$1:B375=B376),$P$1:P375),0)-ABS($M376),"split",IFERROR(LOOKUP(2,1/($B$1:B375=B376),$P$1:P375),0),IFERROR(LOOKUP(2,1/($B$1:B375=B376),$P$1:P375),0)))</x:f>
      </x:c>
      <x:c r="Q376" t="str">
        <x:f>IFERROR($P376/$O376,"")</x:f>
      </x:c>
      <x:c r="R376" t="str">
        <x:f>IF(LOWER($D376)="sell",$M376-$N376-IFERROR(IFERROR(LOOKUP(2,1/($B$1:B375=B376),$P$1:P375),0)/IFERROR(LOOKUP(2,1/($B$1:B375=B376),$O$1:O375),0)*$E376,0),"")</x:f>
      </x:c>
      <x:c r="S376" t="str">
        <x:f>IF(COUNTA($A376:$D376)=0,"",IF($B376="","Missing symbol",IF($D376="","Missing action",IF(AND(LOWER($D376)="sell",$E376&gt;IFERROR(LOOKUP(2,1/($B$1:B375=B376),$O$1:O375),0)),"Sold more units than available","OK"))))</x:f>
      </x:c>
    </x:row>
    <x:row r="377">
      <x:c r="M377" t="str">
        <x:f>IF(COUNTA($A377:$D377)=0,"",IF($G377&lt;&gt;"",$G377,IF(AND($E377&lt;&gt;"",$F377&lt;&gt;""),$E377*$F377,""))*IF($J377&lt;&gt;"",$J377,1))</x:f>
      </x:c>
      <x:c r="N377" t="str">
        <x:f>IF(COUNTA($A377:$D377)=0,"",IF($H377&lt;&gt;"",$H377,0)*IF($J377&lt;&gt;"",$J377,1))</x:f>
      </x:c>
      <x:c r="O377" t="str">
        <x:f>IF(COUNTA($A377:$D377)=0,"",SWITCH(LOWER($D377),"buy",IFERROR(LOOKUP(2,1/($B$1:B376=B377),$O$1:O376),0)+$E377,"drip",IFERROR(LOOKUP(2,1/($B$1:B376=B377),$O$1:O376),0)+$E377,"sell",IFERROR(LOOKUP(2,1/($B$1:B376=B377),$O$1:O376),0)-$E377,"return_of_capital",IFERROR(LOOKUP(2,1/($B$1:B376=B377),$O$1:O376),0),"split",$E377,IFERROR(LOOKUP(2,1/($B$1:B376=B377),$O$1:O376),0)))</x:f>
      </x:c>
      <x:c r="P377" t="str">
        <x:f>IF(COUNTA($A377:$D377)=0,"",SWITCH(LOWER($D377),"buy",IFERROR(LOOKUP(2,1/($B$1:B376=B377),$P$1:P376),0)+$M377+$N377,"drip",IFERROR(LOOKUP(2,1/($B$1:B376=B377),$P$1:P376),0)+$M377+$N377,"sell",IFERROR(LOOKUP(2,1/($B$1:B376=B377),$P$1:P376),0)-IFERROR(IFERROR(LOOKUP(2,1/($B$1:B376=B377),$P$1:P376),0)/IFERROR(LOOKUP(2,1/($B$1:B376=B377),$O$1:O376),0)*$E377,0),"return_of_capital",IFERROR(LOOKUP(2,1/($B$1:B376=B377),$P$1:P376),0)-ABS($M377),"split",IFERROR(LOOKUP(2,1/($B$1:B376=B377),$P$1:P376),0),IFERROR(LOOKUP(2,1/($B$1:B376=B377),$P$1:P376),0)))</x:f>
      </x:c>
      <x:c r="Q377" t="str">
        <x:f>IFERROR($P377/$O377,"")</x:f>
      </x:c>
      <x:c r="R377" t="str">
        <x:f>IF(LOWER($D377)="sell",$M377-$N377-IFERROR(IFERROR(LOOKUP(2,1/($B$1:B376=B377),$P$1:P376),0)/IFERROR(LOOKUP(2,1/($B$1:B376=B377),$O$1:O376),0)*$E377,0),"")</x:f>
      </x:c>
      <x:c r="S377" t="str">
        <x:f>IF(COUNTA($A377:$D377)=0,"",IF($B377="","Missing symbol",IF($D377="","Missing action",IF(AND(LOWER($D377)="sell",$E377&gt;IFERROR(LOOKUP(2,1/($B$1:B376=B377),$O$1:O376),0)),"Sold more units than available","OK"))))</x:f>
      </x:c>
    </x:row>
    <x:row r="378">
      <x:c r="M378" t="str">
        <x:f>IF(COUNTA($A378:$D378)=0,"",IF($G378&lt;&gt;"",$G378,IF(AND($E378&lt;&gt;"",$F378&lt;&gt;""),$E378*$F378,""))*IF($J378&lt;&gt;"",$J378,1))</x:f>
      </x:c>
      <x:c r="N378" t="str">
        <x:f>IF(COUNTA($A378:$D378)=0,"",IF($H378&lt;&gt;"",$H378,0)*IF($J378&lt;&gt;"",$J378,1))</x:f>
      </x:c>
      <x:c r="O378" t="str">
        <x:f>IF(COUNTA($A378:$D378)=0,"",SWITCH(LOWER($D378),"buy",IFERROR(LOOKUP(2,1/($B$1:B377=B378),$O$1:O377),0)+$E378,"drip",IFERROR(LOOKUP(2,1/($B$1:B377=B378),$O$1:O377),0)+$E378,"sell",IFERROR(LOOKUP(2,1/($B$1:B377=B378),$O$1:O377),0)-$E378,"return_of_capital",IFERROR(LOOKUP(2,1/($B$1:B377=B378),$O$1:O377),0),"split",$E378,IFERROR(LOOKUP(2,1/($B$1:B377=B378),$O$1:O377),0)))</x:f>
      </x:c>
      <x:c r="P378" t="str">
        <x:f>IF(COUNTA($A378:$D378)=0,"",SWITCH(LOWER($D378),"buy",IFERROR(LOOKUP(2,1/($B$1:B377=B378),$P$1:P377),0)+$M378+$N378,"drip",IFERROR(LOOKUP(2,1/($B$1:B377=B378),$P$1:P377),0)+$M378+$N378,"sell",IFERROR(LOOKUP(2,1/($B$1:B377=B378),$P$1:P377),0)-IFERROR(IFERROR(LOOKUP(2,1/($B$1:B377=B378),$P$1:P377),0)/IFERROR(LOOKUP(2,1/($B$1:B377=B378),$O$1:O377),0)*$E378,0),"return_of_capital",IFERROR(LOOKUP(2,1/($B$1:B377=B378),$P$1:P377),0)-ABS($M378),"split",IFERROR(LOOKUP(2,1/($B$1:B377=B378),$P$1:P377),0),IFERROR(LOOKUP(2,1/($B$1:B377=B378),$P$1:P377),0)))</x:f>
      </x:c>
      <x:c r="Q378" t="str">
        <x:f>IFERROR($P378/$O378,"")</x:f>
      </x:c>
      <x:c r="R378" t="str">
        <x:f>IF(LOWER($D378)="sell",$M378-$N378-IFERROR(IFERROR(LOOKUP(2,1/($B$1:B377=B378),$P$1:P377),0)/IFERROR(LOOKUP(2,1/($B$1:B377=B378),$O$1:O377),0)*$E378,0),"")</x:f>
      </x:c>
      <x:c r="S378" t="str">
        <x:f>IF(COUNTA($A378:$D378)=0,"",IF($B378="","Missing symbol",IF($D378="","Missing action",IF(AND(LOWER($D378)="sell",$E378&gt;IFERROR(LOOKUP(2,1/($B$1:B377=B378),$O$1:O377),0)),"Sold more units than available","OK"))))</x:f>
      </x:c>
    </x:row>
    <x:row r="379">
      <x:c r="M379" t="str">
        <x:f>IF(COUNTA($A379:$D379)=0,"",IF($G379&lt;&gt;"",$G379,IF(AND($E379&lt;&gt;"",$F379&lt;&gt;""),$E379*$F379,""))*IF($J379&lt;&gt;"",$J379,1))</x:f>
      </x:c>
      <x:c r="N379" t="str">
        <x:f>IF(COUNTA($A379:$D379)=0,"",IF($H379&lt;&gt;"",$H379,0)*IF($J379&lt;&gt;"",$J379,1))</x:f>
      </x:c>
      <x:c r="O379" t="str">
        <x:f>IF(COUNTA($A379:$D379)=0,"",SWITCH(LOWER($D379),"buy",IFERROR(LOOKUP(2,1/($B$1:B378=B379),$O$1:O378),0)+$E379,"drip",IFERROR(LOOKUP(2,1/($B$1:B378=B379),$O$1:O378),0)+$E379,"sell",IFERROR(LOOKUP(2,1/($B$1:B378=B379),$O$1:O378),0)-$E379,"return_of_capital",IFERROR(LOOKUP(2,1/($B$1:B378=B379),$O$1:O378),0),"split",$E379,IFERROR(LOOKUP(2,1/($B$1:B378=B379),$O$1:O378),0)))</x:f>
      </x:c>
      <x:c r="P379" t="str">
        <x:f>IF(COUNTA($A379:$D379)=0,"",SWITCH(LOWER($D379),"buy",IFERROR(LOOKUP(2,1/($B$1:B378=B379),$P$1:P378),0)+$M379+$N379,"drip",IFERROR(LOOKUP(2,1/($B$1:B378=B379),$P$1:P378),0)+$M379+$N379,"sell",IFERROR(LOOKUP(2,1/($B$1:B378=B379),$P$1:P378),0)-IFERROR(IFERROR(LOOKUP(2,1/($B$1:B378=B379),$P$1:P378),0)/IFERROR(LOOKUP(2,1/($B$1:B378=B379),$O$1:O378),0)*$E379,0),"return_of_capital",IFERROR(LOOKUP(2,1/($B$1:B378=B379),$P$1:P378),0)-ABS($M379),"split",IFERROR(LOOKUP(2,1/($B$1:B378=B379),$P$1:P378),0),IFERROR(LOOKUP(2,1/($B$1:B378=B379),$P$1:P378),0)))</x:f>
      </x:c>
      <x:c r="Q379" t="str">
        <x:f>IFERROR($P379/$O379,"")</x:f>
      </x:c>
      <x:c r="R379" t="str">
        <x:f>IF(LOWER($D379)="sell",$M379-$N379-IFERROR(IFERROR(LOOKUP(2,1/($B$1:B378=B379),$P$1:P378),0)/IFERROR(LOOKUP(2,1/($B$1:B378=B379),$O$1:O378),0)*$E379,0),"")</x:f>
      </x:c>
      <x:c r="S379" t="str">
        <x:f>IF(COUNTA($A379:$D379)=0,"",IF($B379="","Missing symbol",IF($D379="","Missing action",IF(AND(LOWER($D379)="sell",$E379&gt;IFERROR(LOOKUP(2,1/($B$1:B378=B379),$O$1:O378),0)),"Sold more units than available","OK"))))</x:f>
      </x:c>
    </x:row>
    <x:row r="380">
      <x:c r="M380" t="str">
        <x:f>IF(COUNTA($A380:$D380)=0,"",IF($G380&lt;&gt;"",$G380,IF(AND($E380&lt;&gt;"",$F380&lt;&gt;""),$E380*$F380,""))*IF($J380&lt;&gt;"",$J380,1))</x:f>
      </x:c>
      <x:c r="N380" t="str">
        <x:f>IF(COUNTA($A380:$D380)=0,"",IF($H380&lt;&gt;"",$H380,0)*IF($J380&lt;&gt;"",$J380,1))</x:f>
      </x:c>
      <x:c r="O380" t="str">
        <x:f>IF(COUNTA($A380:$D380)=0,"",SWITCH(LOWER($D380),"buy",IFERROR(LOOKUP(2,1/($B$1:B379=B380),$O$1:O379),0)+$E380,"drip",IFERROR(LOOKUP(2,1/($B$1:B379=B380),$O$1:O379),0)+$E380,"sell",IFERROR(LOOKUP(2,1/($B$1:B379=B380),$O$1:O379),0)-$E380,"return_of_capital",IFERROR(LOOKUP(2,1/($B$1:B379=B380),$O$1:O379),0),"split",$E380,IFERROR(LOOKUP(2,1/($B$1:B379=B380),$O$1:O379),0)))</x:f>
      </x:c>
      <x:c r="P380" t="str">
        <x:f>IF(COUNTA($A380:$D380)=0,"",SWITCH(LOWER($D380),"buy",IFERROR(LOOKUP(2,1/($B$1:B379=B380),$P$1:P379),0)+$M380+$N380,"drip",IFERROR(LOOKUP(2,1/($B$1:B379=B380),$P$1:P379),0)+$M380+$N380,"sell",IFERROR(LOOKUP(2,1/($B$1:B379=B380),$P$1:P379),0)-IFERROR(IFERROR(LOOKUP(2,1/($B$1:B379=B380),$P$1:P379),0)/IFERROR(LOOKUP(2,1/($B$1:B379=B380),$O$1:O379),0)*$E380,0),"return_of_capital",IFERROR(LOOKUP(2,1/($B$1:B379=B380),$P$1:P379),0)-ABS($M380),"split",IFERROR(LOOKUP(2,1/($B$1:B379=B380),$P$1:P379),0),IFERROR(LOOKUP(2,1/($B$1:B379=B380),$P$1:P379),0)))</x:f>
      </x:c>
      <x:c r="Q380" t="str">
        <x:f>IFERROR($P380/$O380,"")</x:f>
      </x:c>
      <x:c r="R380" t="str">
        <x:f>IF(LOWER($D380)="sell",$M380-$N380-IFERROR(IFERROR(LOOKUP(2,1/($B$1:B379=B380),$P$1:P379),0)/IFERROR(LOOKUP(2,1/($B$1:B379=B380),$O$1:O379),0)*$E380,0),"")</x:f>
      </x:c>
      <x:c r="S380" t="str">
        <x:f>IF(COUNTA($A380:$D380)=0,"",IF($B380="","Missing symbol",IF($D380="","Missing action",IF(AND(LOWER($D380)="sell",$E380&gt;IFERROR(LOOKUP(2,1/($B$1:B379=B380),$O$1:O379),0)),"Sold more units than available","OK"))))</x:f>
      </x:c>
    </x:row>
    <x:row r="381">
      <x:c r="M381" t="str">
        <x:f>IF(COUNTA($A381:$D381)=0,"",IF($G381&lt;&gt;"",$G381,IF(AND($E381&lt;&gt;"",$F381&lt;&gt;""),$E381*$F381,""))*IF($J381&lt;&gt;"",$J381,1))</x:f>
      </x:c>
      <x:c r="N381" t="str">
        <x:f>IF(COUNTA($A381:$D381)=0,"",IF($H381&lt;&gt;"",$H381,0)*IF($J381&lt;&gt;"",$J381,1))</x:f>
      </x:c>
      <x:c r="O381" t="str">
        <x:f>IF(COUNTA($A381:$D381)=0,"",SWITCH(LOWER($D381),"buy",IFERROR(LOOKUP(2,1/($B$1:B380=B381),$O$1:O380),0)+$E381,"drip",IFERROR(LOOKUP(2,1/($B$1:B380=B381),$O$1:O380),0)+$E381,"sell",IFERROR(LOOKUP(2,1/($B$1:B380=B381),$O$1:O380),0)-$E381,"return_of_capital",IFERROR(LOOKUP(2,1/($B$1:B380=B381),$O$1:O380),0),"split",$E381,IFERROR(LOOKUP(2,1/($B$1:B380=B381),$O$1:O380),0)))</x:f>
      </x:c>
      <x:c r="P381" t="str">
        <x:f>IF(COUNTA($A381:$D381)=0,"",SWITCH(LOWER($D381),"buy",IFERROR(LOOKUP(2,1/($B$1:B380=B381),$P$1:P380),0)+$M381+$N381,"drip",IFERROR(LOOKUP(2,1/($B$1:B380=B381),$P$1:P380),0)+$M381+$N381,"sell",IFERROR(LOOKUP(2,1/($B$1:B380=B381),$P$1:P380),0)-IFERROR(IFERROR(LOOKUP(2,1/($B$1:B380=B381),$P$1:P380),0)/IFERROR(LOOKUP(2,1/($B$1:B380=B381),$O$1:O380),0)*$E381,0),"return_of_capital",IFERROR(LOOKUP(2,1/($B$1:B380=B381),$P$1:P380),0)-ABS($M381),"split",IFERROR(LOOKUP(2,1/($B$1:B380=B381),$P$1:P380),0),IFERROR(LOOKUP(2,1/($B$1:B380=B381),$P$1:P380),0)))</x:f>
      </x:c>
      <x:c r="Q381" t="str">
        <x:f>IFERROR($P381/$O381,"")</x:f>
      </x:c>
      <x:c r="R381" t="str">
        <x:f>IF(LOWER($D381)="sell",$M381-$N381-IFERROR(IFERROR(LOOKUP(2,1/($B$1:B380=B381),$P$1:P380),0)/IFERROR(LOOKUP(2,1/($B$1:B380=B381),$O$1:O380),0)*$E381,0),"")</x:f>
      </x:c>
      <x:c r="S381" t="str">
        <x:f>IF(COUNTA($A381:$D381)=0,"",IF($B381="","Missing symbol",IF($D381="","Missing action",IF(AND(LOWER($D381)="sell",$E381&gt;IFERROR(LOOKUP(2,1/($B$1:B380=B381),$O$1:O380),0)),"Sold more units than available","OK"))))</x:f>
      </x:c>
    </x:row>
    <x:row r="382">
      <x:c r="M382" t="str">
        <x:f>IF(COUNTA($A382:$D382)=0,"",IF($G382&lt;&gt;"",$G382,IF(AND($E382&lt;&gt;"",$F382&lt;&gt;""),$E382*$F382,""))*IF($J382&lt;&gt;"",$J382,1))</x:f>
      </x:c>
      <x:c r="N382" t="str">
        <x:f>IF(COUNTA($A382:$D382)=0,"",IF($H382&lt;&gt;"",$H382,0)*IF($J382&lt;&gt;"",$J382,1))</x:f>
      </x:c>
      <x:c r="O382" t="str">
        <x:f>IF(COUNTA($A382:$D382)=0,"",SWITCH(LOWER($D382),"buy",IFERROR(LOOKUP(2,1/($B$1:B381=B382),$O$1:O381),0)+$E382,"drip",IFERROR(LOOKUP(2,1/($B$1:B381=B382),$O$1:O381),0)+$E382,"sell",IFERROR(LOOKUP(2,1/($B$1:B381=B382),$O$1:O381),0)-$E382,"return_of_capital",IFERROR(LOOKUP(2,1/($B$1:B381=B382),$O$1:O381),0),"split",$E382,IFERROR(LOOKUP(2,1/($B$1:B381=B382),$O$1:O381),0)))</x:f>
      </x:c>
      <x:c r="P382" t="str">
        <x:f>IF(COUNTA($A382:$D382)=0,"",SWITCH(LOWER($D382),"buy",IFERROR(LOOKUP(2,1/($B$1:B381=B382),$P$1:P381),0)+$M382+$N382,"drip",IFERROR(LOOKUP(2,1/($B$1:B381=B382),$P$1:P381),0)+$M382+$N382,"sell",IFERROR(LOOKUP(2,1/($B$1:B381=B382),$P$1:P381),0)-IFERROR(IFERROR(LOOKUP(2,1/($B$1:B381=B382),$P$1:P381),0)/IFERROR(LOOKUP(2,1/($B$1:B381=B382),$O$1:O381),0)*$E382,0),"return_of_capital",IFERROR(LOOKUP(2,1/($B$1:B381=B382),$P$1:P381),0)-ABS($M382),"split",IFERROR(LOOKUP(2,1/($B$1:B381=B382),$P$1:P381),0),IFERROR(LOOKUP(2,1/($B$1:B381=B382),$P$1:P381),0)))</x:f>
      </x:c>
      <x:c r="Q382" t="str">
        <x:f>IFERROR($P382/$O382,"")</x:f>
      </x:c>
      <x:c r="R382" t="str">
        <x:f>IF(LOWER($D382)="sell",$M382-$N382-IFERROR(IFERROR(LOOKUP(2,1/($B$1:B381=B382),$P$1:P381),0)/IFERROR(LOOKUP(2,1/($B$1:B381=B382),$O$1:O381),0)*$E382,0),"")</x:f>
      </x:c>
      <x:c r="S382" t="str">
        <x:f>IF(COUNTA($A382:$D382)=0,"",IF($B382="","Missing symbol",IF($D382="","Missing action",IF(AND(LOWER($D382)="sell",$E382&gt;IFERROR(LOOKUP(2,1/($B$1:B381=B382),$O$1:O381),0)),"Sold more units than available","OK"))))</x:f>
      </x:c>
    </x:row>
    <x:row r="383">
      <x:c r="M383" t="str">
        <x:f>IF(COUNTA($A383:$D383)=0,"",IF($G383&lt;&gt;"",$G383,IF(AND($E383&lt;&gt;"",$F383&lt;&gt;""),$E383*$F383,""))*IF($J383&lt;&gt;"",$J383,1))</x:f>
      </x:c>
      <x:c r="N383" t="str">
        <x:f>IF(COUNTA($A383:$D383)=0,"",IF($H383&lt;&gt;"",$H383,0)*IF($J383&lt;&gt;"",$J383,1))</x:f>
      </x:c>
      <x:c r="O383" t="str">
        <x:f>IF(COUNTA($A383:$D383)=0,"",SWITCH(LOWER($D383),"buy",IFERROR(LOOKUP(2,1/($B$1:B382=B383),$O$1:O382),0)+$E383,"drip",IFERROR(LOOKUP(2,1/($B$1:B382=B383),$O$1:O382),0)+$E383,"sell",IFERROR(LOOKUP(2,1/($B$1:B382=B383),$O$1:O382),0)-$E383,"return_of_capital",IFERROR(LOOKUP(2,1/($B$1:B382=B383),$O$1:O382),0),"split",$E383,IFERROR(LOOKUP(2,1/($B$1:B382=B383),$O$1:O382),0)))</x:f>
      </x:c>
      <x:c r="P383" t="str">
        <x:f>IF(COUNTA($A383:$D383)=0,"",SWITCH(LOWER($D383),"buy",IFERROR(LOOKUP(2,1/($B$1:B382=B383),$P$1:P382),0)+$M383+$N383,"drip",IFERROR(LOOKUP(2,1/($B$1:B382=B383),$P$1:P382),0)+$M383+$N383,"sell",IFERROR(LOOKUP(2,1/($B$1:B382=B383),$P$1:P382),0)-IFERROR(IFERROR(LOOKUP(2,1/($B$1:B382=B383),$P$1:P382),0)/IFERROR(LOOKUP(2,1/($B$1:B382=B383),$O$1:O382),0)*$E383,0),"return_of_capital",IFERROR(LOOKUP(2,1/($B$1:B382=B383),$P$1:P382),0)-ABS($M383),"split",IFERROR(LOOKUP(2,1/($B$1:B382=B383),$P$1:P382),0),IFERROR(LOOKUP(2,1/($B$1:B382=B383),$P$1:P382),0)))</x:f>
      </x:c>
      <x:c r="Q383" t="str">
        <x:f>IFERROR($P383/$O383,"")</x:f>
      </x:c>
      <x:c r="R383" t="str">
        <x:f>IF(LOWER($D383)="sell",$M383-$N383-IFERROR(IFERROR(LOOKUP(2,1/($B$1:B382=B383),$P$1:P382),0)/IFERROR(LOOKUP(2,1/($B$1:B382=B383),$O$1:O382),0)*$E383,0),"")</x:f>
      </x:c>
      <x:c r="S383" t="str">
        <x:f>IF(COUNTA($A383:$D383)=0,"",IF($B383="","Missing symbol",IF($D383="","Missing action",IF(AND(LOWER($D383)="sell",$E383&gt;IFERROR(LOOKUP(2,1/($B$1:B382=B383),$O$1:O382),0)),"Sold more units than available","OK"))))</x:f>
      </x:c>
    </x:row>
    <x:row r="384">
      <x:c r="M384" t="str">
        <x:f>IF(COUNTA($A384:$D384)=0,"",IF($G384&lt;&gt;"",$G384,IF(AND($E384&lt;&gt;"",$F384&lt;&gt;""),$E384*$F384,""))*IF($J384&lt;&gt;"",$J384,1))</x:f>
      </x:c>
      <x:c r="N384" t="str">
        <x:f>IF(COUNTA($A384:$D384)=0,"",IF($H384&lt;&gt;"",$H384,0)*IF($J384&lt;&gt;"",$J384,1))</x:f>
      </x:c>
      <x:c r="O384" t="str">
        <x:f>IF(COUNTA($A384:$D384)=0,"",SWITCH(LOWER($D384),"buy",IFERROR(LOOKUP(2,1/($B$1:B383=B384),$O$1:O383),0)+$E384,"drip",IFERROR(LOOKUP(2,1/($B$1:B383=B384),$O$1:O383),0)+$E384,"sell",IFERROR(LOOKUP(2,1/($B$1:B383=B384),$O$1:O383),0)-$E384,"return_of_capital",IFERROR(LOOKUP(2,1/($B$1:B383=B384),$O$1:O383),0),"split",$E384,IFERROR(LOOKUP(2,1/($B$1:B383=B384),$O$1:O383),0)))</x:f>
      </x:c>
      <x:c r="P384" t="str">
        <x:f>IF(COUNTA($A384:$D384)=0,"",SWITCH(LOWER($D384),"buy",IFERROR(LOOKUP(2,1/($B$1:B383=B384),$P$1:P383),0)+$M384+$N384,"drip",IFERROR(LOOKUP(2,1/($B$1:B383=B384),$P$1:P383),0)+$M384+$N384,"sell",IFERROR(LOOKUP(2,1/($B$1:B383=B384),$P$1:P383),0)-IFERROR(IFERROR(LOOKUP(2,1/($B$1:B383=B384),$P$1:P383),0)/IFERROR(LOOKUP(2,1/($B$1:B383=B384),$O$1:O383),0)*$E384,0),"return_of_capital",IFERROR(LOOKUP(2,1/($B$1:B383=B384),$P$1:P383),0)-ABS($M384),"split",IFERROR(LOOKUP(2,1/($B$1:B383=B384),$P$1:P383),0),IFERROR(LOOKUP(2,1/($B$1:B383=B384),$P$1:P383),0)))</x:f>
      </x:c>
      <x:c r="Q384" t="str">
        <x:f>IFERROR($P384/$O384,"")</x:f>
      </x:c>
      <x:c r="R384" t="str">
        <x:f>IF(LOWER($D384)="sell",$M384-$N384-IFERROR(IFERROR(LOOKUP(2,1/($B$1:B383=B384),$P$1:P383),0)/IFERROR(LOOKUP(2,1/($B$1:B383=B384),$O$1:O383),0)*$E384,0),"")</x:f>
      </x:c>
      <x:c r="S384" t="str">
        <x:f>IF(COUNTA($A384:$D384)=0,"",IF($B384="","Missing symbol",IF($D384="","Missing action",IF(AND(LOWER($D384)="sell",$E384&gt;IFERROR(LOOKUP(2,1/($B$1:B383=B384),$O$1:O383),0)),"Sold more units than available","OK"))))</x:f>
      </x:c>
    </x:row>
    <x:row r="385">
      <x:c r="M385" t="str">
        <x:f>IF(COUNTA($A385:$D385)=0,"",IF($G385&lt;&gt;"",$G385,IF(AND($E385&lt;&gt;"",$F385&lt;&gt;""),$E385*$F385,""))*IF($J385&lt;&gt;"",$J385,1))</x:f>
      </x:c>
      <x:c r="N385" t="str">
        <x:f>IF(COUNTA($A385:$D385)=0,"",IF($H385&lt;&gt;"",$H385,0)*IF($J385&lt;&gt;"",$J385,1))</x:f>
      </x:c>
      <x:c r="O385" t="str">
        <x:f>IF(COUNTA($A385:$D385)=0,"",SWITCH(LOWER($D385),"buy",IFERROR(LOOKUP(2,1/($B$1:B384=B385),$O$1:O384),0)+$E385,"drip",IFERROR(LOOKUP(2,1/($B$1:B384=B385),$O$1:O384),0)+$E385,"sell",IFERROR(LOOKUP(2,1/($B$1:B384=B385),$O$1:O384),0)-$E385,"return_of_capital",IFERROR(LOOKUP(2,1/($B$1:B384=B385),$O$1:O384),0),"split",$E385,IFERROR(LOOKUP(2,1/($B$1:B384=B385),$O$1:O384),0)))</x:f>
      </x:c>
      <x:c r="P385" t="str">
        <x:f>IF(COUNTA($A385:$D385)=0,"",SWITCH(LOWER($D385),"buy",IFERROR(LOOKUP(2,1/($B$1:B384=B385),$P$1:P384),0)+$M385+$N385,"drip",IFERROR(LOOKUP(2,1/($B$1:B384=B385),$P$1:P384),0)+$M385+$N385,"sell",IFERROR(LOOKUP(2,1/($B$1:B384=B385),$P$1:P384),0)-IFERROR(IFERROR(LOOKUP(2,1/($B$1:B384=B385),$P$1:P384),0)/IFERROR(LOOKUP(2,1/($B$1:B384=B385),$O$1:O384),0)*$E385,0),"return_of_capital",IFERROR(LOOKUP(2,1/($B$1:B384=B385),$P$1:P384),0)-ABS($M385),"split",IFERROR(LOOKUP(2,1/($B$1:B384=B385),$P$1:P384),0),IFERROR(LOOKUP(2,1/($B$1:B384=B385),$P$1:P384),0)))</x:f>
      </x:c>
      <x:c r="Q385" t="str">
        <x:f>IFERROR($P385/$O385,"")</x:f>
      </x:c>
      <x:c r="R385" t="str">
        <x:f>IF(LOWER($D385)="sell",$M385-$N385-IFERROR(IFERROR(LOOKUP(2,1/($B$1:B384=B385),$P$1:P384),0)/IFERROR(LOOKUP(2,1/($B$1:B384=B385),$O$1:O384),0)*$E385,0),"")</x:f>
      </x:c>
      <x:c r="S385" t="str">
        <x:f>IF(COUNTA($A385:$D385)=0,"",IF($B385="","Missing symbol",IF($D385="","Missing action",IF(AND(LOWER($D385)="sell",$E385&gt;IFERROR(LOOKUP(2,1/($B$1:B384=B385),$O$1:O384),0)),"Sold more units than available","OK"))))</x:f>
      </x:c>
    </x:row>
    <x:row r="386">
      <x:c r="M386" t="str">
        <x:f>IF(COUNTA($A386:$D386)=0,"",IF($G386&lt;&gt;"",$G386,IF(AND($E386&lt;&gt;"",$F386&lt;&gt;""),$E386*$F386,""))*IF($J386&lt;&gt;"",$J386,1))</x:f>
      </x:c>
      <x:c r="N386" t="str">
        <x:f>IF(COUNTA($A386:$D386)=0,"",IF($H386&lt;&gt;"",$H386,0)*IF($J386&lt;&gt;"",$J386,1))</x:f>
      </x:c>
      <x:c r="O386" t="str">
        <x:f>IF(COUNTA($A386:$D386)=0,"",SWITCH(LOWER($D386),"buy",IFERROR(LOOKUP(2,1/($B$1:B385=B386),$O$1:O385),0)+$E386,"drip",IFERROR(LOOKUP(2,1/($B$1:B385=B386),$O$1:O385),0)+$E386,"sell",IFERROR(LOOKUP(2,1/($B$1:B385=B386),$O$1:O385),0)-$E386,"return_of_capital",IFERROR(LOOKUP(2,1/($B$1:B385=B386),$O$1:O385),0),"split",$E386,IFERROR(LOOKUP(2,1/($B$1:B385=B386),$O$1:O385),0)))</x:f>
      </x:c>
      <x:c r="P386" t="str">
        <x:f>IF(COUNTA($A386:$D386)=0,"",SWITCH(LOWER($D386),"buy",IFERROR(LOOKUP(2,1/($B$1:B385=B386),$P$1:P385),0)+$M386+$N386,"drip",IFERROR(LOOKUP(2,1/($B$1:B385=B386),$P$1:P385),0)+$M386+$N386,"sell",IFERROR(LOOKUP(2,1/($B$1:B385=B386),$P$1:P385),0)-IFERROR(IFERROR(LOOKUP(2,1/($B$1:B385=B386),$P$1:P385),0)/IFERROR(LOOKUP(2,1/($B$1:B385=B386),$O$1:O385),0)*$E386,0),"return_of_capital",IFERROR(LOOKUP(2,1/($B$1:B385=B386),$P$1:P385),0)-ABS($M386),"split",IFERROR(LOOKUP(2,1/($B$1:B385=B386),$P$1:P385),0),IFERROR(LOOKUP(2,1/($B$1:B385=B386),$P$1:P385),0)))</x:f>
      </x:c>
      <x:c r="Q386" t="str">
        <x:f>IFERROR($P386/$O386,"")</x:f>
      </x:c>
      <x:c r="R386" t="str">
        <x:f>IF(LOWER($D386)="sell",$M386-$N386-IFERROR(IFERROR(LOOKUP(2,1/($B$1:B385=B386),$P$1:P385),0)/IFERROR(LOOKUP(2,1/($B$1:B385=B386),$O$1:O385),0)*$E386,0),"")</x:f>
      </x:c>
      <x:c r="S386" t="str">
        <x:f>IF(COUNTA($A386:$D386)=0,"",IF($B386="","Missing symbol",IF($D386="","Missing action",IF(AND(LOWER($D386)="sell",$E386&gt;IFERROR(LOOKUP(2,1/($B$1:B385=B386),$O$1:O385),0)),"Sold more units than available","OK"))))</x:f>
      </x:c>
    </x:row>
    <x:row r="387">
      <x:c r="M387" t="str">
        <x:f>IF(COUNTA($A387:$D387)=0,"",IF($G387&lt;&gt;"",$G387,IF(AND($E387&lt;&gt;"",$F387&lt;&gt;""),$E387*$F387,""))*IF($J387&lt;&gt;"",$J387,1))</x:f>
      </x:c>
      <x:c r="N387" t="str">
        <x:f>IF(COUNTA($A387:$D387)=0,"",IF($H387&lt;&gt;"",$H387,0)*IF($J387&lt;&gt;"",$J387,1))</x:f>
      </x:c>
      <x:c r="O387" t="str">
        <x:f>IF(COUNTA($A387:$D387)=0,"",SWITCH(LOWER($D387),"buy",IFERROR(LOOKUP(2,1/($B$1:B386=B387),$O$1:O386),0)+$E387,"drip",IFERROR(LOOKUP(2,1/($B$1:B386=B387),$O$1:O386),0)+$E387,"sell",IFERROR(LOOKUP(2,1/($B$1:B386=B387),$O$1:O386),0)-$E387,"return_of_capital",IFERROR(LOOKUP(2,1/($B$1:B386=B387),$O$1:O386),0),"split",$E387,IFERROR(LOOKUP(2,1/($B$1:B386=B387),$O$1:O386),0)))</x:f>
      </x:c>
      <x:c r="P387" t="str">
        <x:f>IF(COUNTA($A387:$D387)=0,"",SWITCH(LOWER($D387),"buy",IFERROR(LOOKUP(2,1/($B$1:B386=B387),$P$1:P386),0)+$M387+$N387,"drip",IFERROR(LOOKUP(2,1/($B$1:B386=B387),$P$1:P386),0)+$M387+$N387,"sell",IFERROR(LOOKUP(2,1/($B$1:B386=B387),$P$1:P386),0)-IFERROR(IFERROR(LOOKUP(2,1/($B$1:B386=B387),$P$1:P386),0)/IFERROR(LOOKUP(2,1/($B$1:B386=B387),$O$1:O386),0)*$E387,0),"return_of_capital",IFERROR(LOOKUP(2,1/($B$1:B386=B387),$P$1:P386),0)-ABS($M387),"split",IFERROR(LOOKUP(2,1/($B$1:B386=B387),$P$1:P386),0),IFERROR(LOOKUP(2,1/($B$1:B386=B387),$P$1:P386),0)))</x:f>
      </x:c>
      <x:c r="Q387" t="str">
        <x:f>IFERROR($P387/$O387,"")</x:f>
      </x:c>
      <x:c r="R387" t="str">
        <x:f>IF(LOWER($D387)="sell",$M387-$N387-IFERROR(IFERROR(LOOKUP(2,1/($B$1:B386=B387),$P$1:P386),0)/IFERROR(LOOKUP(2,1/($B$1:B386=B387),$O$1:O386),0)*$E387,0),"")</x:f>
      </x:c>
      <x:c r="S387" t="str">
        <x:f>IF(COUNTA($A387:$D387)=0,"",IF($B387="","Missing symbol",IF($D387="","Missing action",IF(AND(LOWER($D387)="sell",$E387&gt;IFERROR(LOOKUP(2,1/($B$1:B386=B387),$O$1:O386),0)),"Sold more units than available","OK"))))</x:f>
      </x:c>
    </x:row>
    <x:row r="388">
      <x:c r="M388" t="str">
        <x:f>IF(COUNTA($A388:$D388)=0,"",IF($G388&lt;&gt;"",$G388,IF(AND($E388&lt;&gt;"",$F388&lt;&gt;""),$E388*$F388,""))*IF($J388&lt;&gt;"",$J388,1))</x:f>
      </x:c>
      <x:c r="N388" t="str">
        <x:f>IF(COUNTA($A388:$D388)=0,"",IF($H388&lt;&gt;"",$H388,0)*IF($J388&lt;&gt;"",$J388,1))</x:f>
      </x:c>
      <x:c r="O388" t="str">
        <x:f>IF(COUNTA($A388:$D388)=0,"",SWITCH(LOWER($D388),"buy",IFERROR(LOOKUP(2,1/($B$1:B387=B388),$O$1:O387),0)+$E388,"drip",IFERROR(LOOKUP(2,1/($B$1:B387=B388),$O$1:O387),0)+$E388,"sell",IFERROR(LOOKUP(2,1/($B$1:B387=B388),$O$1:O387),0)-$E388,"return_of_capital",IFERROR(LOOKUP(2,1/($B$1:B387=B388),$O$1:O387),0),"split",$E388,IFERROR(LOOKUP(2,1/($B$1:B387=B388),$O$1:O387),0)))</x:f>
      </x:c>
      <x:c r="P388" t="str">
        <x:f>IF(COUNTA($A388:$D388)=0,"",SWITCH(LOWER($D388),"buy",IFERROR(LOOKUP(2,1/($B$1:B387=B388),$P$1:P387),0)+$M388+$N388,"drip",IFERROR(LOOKUP(2,1/($B$1:B387=B388),$P$1:P387),0)+$M388+$N388,"sell",IFERROR(LOOKUP(2,1/($B$1:B387=B388),$P$1:P387),0)-IFERROR(IFERROR(LOOKUP(2,1/($B$1:B387=B388),$P$1:P387),0)/IFERROR(LOOKUP(2,1/($B$1:B387=B388),$O$1:O387),0)*$E388,0),"return_of_capital",IFERROR(LOOKUP(2,1/($B$1:B387=B388),$P$1:P387),0)-ABS($M388),"split",IFERROR(LOOKUP(2,1/($B$1:B387=B388),$P$1:P387),0),IFERROR(LOOKUP(2,1/($B$1:B387=B388),$P$1:P387),0)))</x:f>
      </x:c>
      <x:c r="Q388" t="str">
        <x:f>IFERROR($P388/$O388,"")</x:f>
      </x:c>
      <x:c r="R388" t="str">
        <x:f>IF(LOWER($D388)="sell",$M388-$N388-IFERROR(IFERROR(LOOKUP(2,1/($B$1:B387=B388),$P$1:P387),0)/IFERROR(LOOKUP(2,1/($B$1:B387=B388),$O$1:O387),0)*$E388,0),"")</x:f>
      </x:c>
      <x:c r="S388" t="str">
        <x:f>IF(COUNTA($A388:$D388)=0,"",IF($B388="","Missing symbol",IF($D388="","Missing action",IF(AND(LOWER($D388)="sell",$E388&gt;IFERROR(LOOKUP(2,1/($B$1:B387=B388),$O$1:O387),0)),"Sold more units than available","OK"))))</x:f>
      </x:c>
    </x:row>
    <x:row r="389">
      <x:c r="M389" t="str">
        <x:f>IF(COUNTA($A389:$D389)=0,"",IF($G389&lt;&gt;"",$G389,IF(AND($E389&lt;&gt;"",$F389&lt;&gt;""),$E389*$F389,""))*IF($J389&lt;&gt;"",$J389,1))</x:f>
      </x:c>
      <x:c r="N389" t="str">
        <x:f>IF(COUNTA($A389:$D389)=0,"",IF($H389&lt;&gt;"",$H389,0)*IF($J389&lt;&gt;"",$J389,1))</x:f>
      </x:c>
      <x:c r="O389" t="str">
        <x:f>IF(COUNTA($A389:$D389)=0,"",SWITCH(LOWER($D389),"buy",IFERROR(LOOKUP(2,1/($B$1:B388=B389),$O$1:O388),0)+$E389,"drip",IFERROR(LOOKUP(2,1/($B$1:B388=B389),$O$1:O388),0)+$E389,"sell",IFERROR(LOOKUP(2,1/($B$1:B388=B389),$O$1:O388),0)-$E389,"return_of_capital",IFERROR(LOOKUP(2,1/($B$1:B388=B389),$O$1:O388),0),"split",$E389,IFERROR(LOOKUP(2,1/($B$1:B388=B389),$O$1:O388),0)))</x:f>
      </x:c>
      <x:c r="P389" t="str">
        <x:f>IF(COUNTA($A389:$D389)=0,"",SWITCH(LOWER($D389),"buy",IFERROR(LOOKUP(2,1/($B$1:B388=B389),$P$1:P388),0)+$M389+$N389,"drip",IFERROR(LOOKUP(2,1/($B$1:B388=B389),$P$1:P388),0)+$M389+$N389,"sell",IFERROR(LOOKUP(2,1/($B$1:B388=B389),$P$1:P388),0)-IFERROR(IFERROR(LOOKUP(2,1/($B$1:B388=B389),$P$1:P388),0)/IFERROR(LOOKUP(2,1/($B$1:B388=B389),$O$1:O388),0)*$E389,0),"return_of_capital",IFERROR(LOOKUP(2,1/($B$1:B388=B389),$P$1:P388),0)-ABS($M389),"split",IFERROR(LOOKUP(2,1/($B$1:B388=B389),$P$1:P388),0),IFERROR(LOOKUP(2,1/($B$1:B388=B389),$P$1:P388),0)))</x:f>
      </x:c>
      <x:c r="Q389" t="str">
        <x:f>IFERROR($P389/$O389,"")</x:f>
      </x:c>
      <x:c r="R389" t="str">
        <x:f>IF(LOWER($D389)="sell",$M389-$N389-IFERROR(IFERROR(LOOKUP(2,1/($B$1:B388=B389),$P$1:P388),0)/IFERROR(LOOKUP(2,1/($B$1:B388=B389),$O$1:O388),0)*$E389,0),"")</x:f>
      </x:c>
      <x:c r="S389" t="str">
        <x:f>IF(COUNTA($A389:$D389)=0,"",IF($B389="","Missing symbol",IF($D389="","Missing action",IF(AND(LOWER($D389)="sell",$E389&gt;IFERROR(LOOKUP(2,1/($B$1:B388=B389),$O$1:O388),0)),"Sold more units than available","OK"))))</x:f>
      </x:c>
    </x:row>
    <x:row r="390">
      <x:c r="M390" t="str">
        <x:f>IF(COUNTA($A390:$D390)=0,"",IF($G390&lt;&gt;"",$G390,IF(AND($E390&lt;&gt;"",$F390&lt;&gt;""),$E390*$F390,""))*IF($J390&lt;&gt;"",$J390,1))</x:f>
      </x:c>
      <x:c r="N390" t="str">
        <x:f>IF(COUNTA($A390:$D390)=0,"",IF($H390&lt;&gt;"",$H390,0)*IF($J390&lt;&gt;"",$J390,1))</x:f>
      </x:c>
      <x:c r="O390" t="str">
        <x:f>IF(COUNTA($A390:$D390)=0,"",SWITCH(LOWER($D390),"buy",IFERROR(LOOKUP(2,1/($B$1:B389=B390),$O$1:O389),0)+$E390,"drip",IFERROR(LOOKUP(2,1/($B$1:B389=B390),$O$1:O389),0)+$E390,"sell",IFERROR(LOOKUP(2,1/($B$1:B389=B390),$O$1:O389),0)-$E390,"return_of_capital",IFERROR(LOOKUP(2,1/($B$1:B389=B390),$O$1:O389),0),"split",$E390,IFERROR(LOOKUP(2,1/($B$1:B389=B390),$O$1:O389),0)))</x:f>
      </x:c>
      <x:c r="P390" t="str">
        <x:f>IF(COUNTA($A390:$D390)=0,"",SWITCH(LOWER($D390),"buy",IFERROR(LOOKUP(2,1/($B$1:B389=B390),$P$1:P389),0)+$M390+$N390,"drip",IFERROR(LOOKUP(2,1/($B$1:B389=B390),$P$1:P389),0)+$M390+$N390,"sell",IFERROR(LOOKUP(2,1/($B$1:B389=B390),$P$1:P389),0)-IFERROR(IFERROR(LOOKUP(2,1/($B$1:B389=B390),$P$1:P389),0)/IFERROR(LOOKUP(2,1/($B$1:B389=B390),$O$1:O389),0)*$E390,0),"return_of_capital",IFERROR(LOOKUP(2,1/($B$1:B389=B390),$P$1:P389),0)-ABS($M390),"split",IFERROR(LOOKUP(2,1/($B$1:B389=B390),$P$1:P389),0),IFERROR(LOOKUP(2,1/($B$1:B389=B390),$P$1:P389),0)))</x:f>
      </x:c>
      <x:c r="Q390" t="str">
        <x:f>IFERROR($P390/$O390,"")</x:f>
      </x:c>
      <x:c r="R390" t="str">
        <x:f>IF(LOWER($D390)="sell",$M390-$N390-IFERROR(IFERROR(LOOKUP(2,1/($B$1:B389=B390),$P$1:P389),0)/IFERROR(LOOKUP(2,1/($B$1:B389=B390),$O$1:O389),0)*$E390,0),"")</x:f>
      </x:c>
      <x:c r="S390" t="str">
        <x:f>IF(COUNTA($A390:$D390)=0,"",IF($B390="","Missing symbol",IF($D390="","Missing action",IF(AND(LOWER($D390)="sell",$E390&gt;IFERROR(LOOKUP(2,1/($B$1:B389=B390),$O$1:O389),0)),"Sold more units than available","OK"))))</x:f>
      </x:c>
    </x:row>
    <x:row r="391">
      <x:c r="M391" t="str">
        <x:f>IF(COUNTA($A391:$D391)=0,"",IF($G391&lt;&gt;"",$G391,IF(AND($E391&lt;&gt;"",$F391&lt;&gt;""),$E391*$F391,""))*IF($J391&lt;&gt;"",$J391,1))</x:f>
      </x:c>
      <x:c r="N391" t="str">
        <x:f>IF(COUNTA($A391:$D391)=0,"",IF($H391&lt;&gt;"",$H391,0)*IF($J391&lt;&gt;"",$J391,1))</x:f>
      </x:c>
      <x:c r="O391" t="str">
        <x:f>IF(COUNTA($A391:$D391)=0,"",SWITCH(LOWER($D391),"buy",IFERROR(LOOKUP(2,1/($B$1:B390=B391),$O$1:O390),0)+$E391,"drip",IFERROR(LOOKUP(2,1/($B$1:B390=B391),$O$1:O390),0)+$E391,"sell",IFERROR(LOOKUP(2,1/($B$1:B390=B391),$O$1:O390),0)-$E391,"return_of_capital",IFERROR(LOOKUP(2,1/($B$1:B390=B391),$O$1:O390),0),"split",$E391,IFERROR(LOOKUP(2,1/($B$1:B390=B391),$O$1:O390),0)))</x:f>
      </x:c>
      <x:c r="P391" t="str">
        <x:f>IF(COUNTA($A391:$D391)=0,"",SWITCH(LOWER($D391),"buy",IFERROR(LOOKUP(2,1/($B$1:B390=B391),$P$1:P390),0)+$M391+$N391,"drip",IFERROR(LOOKUP(2,1/($B$1:B390=B391),$P$1:P390),0)+$M391+$N391,"sell",IFERROR(LOOKUP(2,1/($B$1:B390=B391),$P$1:P390),0)-IFERROR(IFERROR(LOOKUP(2,1/($B$1:B390=B391),$P$1:P390),0)/IFERROR(LOOKUP(2,1/($B$1:B390=B391),$O$1:O390),0)*$E391,0),"return_of_capital",IFERROR(LOOKUP(2,1/($B$1:B390=B391),$P$1:P390),0)-ABS($M391),"split",IFERROR(LOOKUP(2,1/($B$1:B390=B391),$P$1:P390),0),IFERROR(LOOKUP(2,1/($B$1:B390=B391),$P$1:P390),0)))</x:f>
      </x:c>
      <x:c r="Q391" t="str">
        <x:f>IFERROR($P391/$O391,"")</x:f>
      </x:c>
      <x:c r="R391" t="str">
        <x:f>IF(LOWER($D391)="sell",$M391-$N391-IFERROR(IFERROR(LOOKUP(2,1/($B$1:B390=B391),$P$1:P390),0)/IFERROR(LOOKUP(2,1/($B$1:B390=B391),$O$1:O390),0)*$E391,0),"")</x:f>
      </x:c>
      <x:c r="S391" t="str">
        <x:f>IF(COUNTA($A391:$D391)=0,"",IF($B391="","Missing symbol",IF($D391="","Missing action",IF(AND(LOWER($D391)="sell",$E391&gt;IFERROR(LOOKUP(2,1/($B$1:B390=B391),$O$1:O390),0)),"Sold more units than available","OK"))))</x:f>
      </x:c>
    </x:row>
    <x:row r="392">
      <x:c r="M392" t="str">
        <x:f>IF(COUNTA($A392:$D392)=0,"",IF($G392&lt;&gt;"",$G392,IF(AND($E392&lt;&gt;"",$F392&lt;&gt;""),$E392*$F392,""))*IF($J392&lt;&gt;"",$J392,1))</x:f>
      </x:c>
      <x:c r="N392" t="str">
        <x:f>IF(COUNTA($A392:$D392)=0,"",IF($H392&lt;&gt;"",$H392,0)*IF($J392&lt;&gt;"",$J392,1))</x:f>
      </x:c>
      <x:c r="O392" t="str">
        <x:f>IF(COUNTA($A392:$D392)=0,"",SWITCH(LOWER($D392),"buy",IFERROR(LOOKUP(2,1/($B$1:B391=B392),$O$1:O391),0)+$E392,"drip",IFERROR(LOOKUP(2,1/($B$1:B391=B392),$O$1:O391),0)+$E392,"sell",IFERROR(LOOKUP(2,1/($B$1:B391=B392),$O$1:O391),0)-$E392,"return_of_capital",IFERROR(LOOKUP(2,1/($B$1:B391=B392),$O$1:O391),0),"split",$E392,IFERROR(LOOKUP(2,1/($B$1:B391=B392),$O$1:O391),0)))</x:f>
      </x:c>
      <x:c r="P392" t="str">
        <x:f>IF(COUNTA($A392:$D392)=0,"",SWITCH(LOWER($D392),"buy",IFERROR(LOOKUP(2,1/($B$1:B391=B392),$P$1:P391),0)+$M392+$N392,"drip",IFERROR(LOOKUP(2,1/($B$1:B391=B392),$P$1:P391),0)+$M392+$N392,"sell",IFERROR(LOOKUP(2,1/($B$1:B391=B392),$P$1:P391),0)-IFERROR(IFERROR(LOOKUP(2,1/($B$1:B391=B392),$P$1:P391),0)/IFERROR(LOOKUP(2,1/($B$1:B391=B392),$O$1:O391),0)*$E392,0),"return_of_capital",IFERROR(LOOKUP(2,1/($B$1:B391=B392),$P$1:P391),0)-ABS($M392),"split",IFERROR(LOOKUP(2,1/($B$1:B391=B392),$P$1:P391),0),IFERROR(LOOKUP(2,1/($B$1:B391=B392),$P$1:P391),0)))</x:f>
      </x:c>
      <x:c r="Q392" t="str">
        <x:f>IFERROR($P392/$O392,"")</x:f>
      </x:c>
      <x:c r="R392" t="str">
        <x:f>IF(LOWER($D392)="sell",$M392-$N392-IFERROR(IFERROR(LOOKUP(2,1/($B$1:B391=B392),$P$1:P391),0)/IFERROR(LOOKUP(2,1/($B$1:B391=B392),$O$1:O391),0)*$E392,0),"")</x:f>
      </x:c>
      <x:c r="S392" t="str">
        <x:f>IF(COUNTA($A392:$D392)=0,"",IF($B392="","Missing symbol",IF($D392="","Missing action",IF(AND(LOWER($D392)="sell",$E392&gt;IFERROR(LOOKUP(2,1/($B$1:B391=B392),$O$1:O391),0)),"Sold more units than available","OK"))))</x:f>
      </x:c>
    </x:row>
    <x:row r="393">
      <x:c r="M393" t="str">
        <x:f>IF(COUNTA($A393:$D393)=0,"",IF($G393&lt;&gt;"",$G393,IF(AND($E393&lt;&gt;"",$F393&lt;&gt;""),$E393*$F393,""))*IF($J393&lt;&gt;"",$J393,1))</x:f>
      </x:c>
      <x:c r="N393" t="str">
        <x:f>IF(COUNTA($A393:$D393)=0,"",IF($H393&lt;&gt;"",$H393,0)*IF($J393&lt;&gt;"",$J393,1))</x:f>
      </x:c>
      <x:c r="O393" t="str">
        <x:f>IF(COUNTA($A393:$D393)=0,"",SWITCH(LOWER($D393),"buy",IFERROR(LOOKUP(2,1/($B$1:B392=B393),$O$1:O392),0)+$E393,"drip",IFERROR(LOOKUP(2,1/($B$1:B392=B393),$O$1:O392),0)+$E393,"sell",IFERROR(LOOKUP(2,1/($B$1:B392=B393),$O$1:O392),0)-$E393,"return_of_capital",IFERROR(LOOKUP(2,1/($B$1:B392=B393),$O$1:O392),0),"split",$E393,IFERROR(LOOKUP(2,1/($B$1:B392=B393),$O$1:O392),0)))</x:f>
      </x:c>
      <x:c r="P393" t="str">
        <x:f>IF(COUNTA($A393:$D393)=0,"",SWITCH(LOWER($D393),"buy",IFERROR(LOOKUP(2,1/($B$1:B392=B393),$P$1:P392),0)+$M393+$N393,"drip",IFERROR(LOOKUP(2,1/($B$1:B392=B393),$P$1:P392),0)+$M393+$N393,"sell",IFERROR(LOOKUP(2,1/($B$1:B392=B393),$P$1:P392),0)-IFERROR(IFERROR(LOOKUP(2,1/($B$1:B392=B393),$P$1:P392),0)/IFERROR(LOOKUP(2,1/($B$1:B392=B393),$O$1:O392),0)*$E393,0),"return_of_capital",IFERROR(LOOKUP(2,1/($B$1:B392=B393),$P$1:P392),0)-ABS($M393),"split",IFERROR(LOOKUP(2,1/($B$1:B392=B393),$P$1:P392),0),IFERROR(LOOKUP(2,1/($B$1:B392=B393),$P$1:P392),0)))</x:f>
      </x:c>
      <x:c r="Q393" t="str">
        <x:f>IFERROR($P393/$O393,"")</x:f>
      </x:c>
      <x:c r="R393" t="str">
        <x:f>IF(LOWER($D393)="sell",$M393-$N393-IFERROR(IFERROR(LOOKUP(2,1/($B$1:B392=B393),$P$1:P392),0)/IFERROR(LOOKUP(2,1/($B$1:B392=B393),$O$1:O392),0)*$E393,0),"")</x:f>
      </x:c>
      <x:c r="S393" t="str">
        <x:f>IF(COUNTA($A393:$D393)=0,"",IF($B393="","Missing symbol",IF($D393="","Missing action",IF(AND(LOWER($D393)="sell",$E393&gt;IFERROR(LOOKUP(2,1/($B$1:B392=B393),$O$1:O392),0)),"Sold more units than available","OK"))))</x:f>
      </x:c>
    </x:row>
    <x:row r="394">
      <x:c r="M394" t="str">
        <x:f>IF(COUNTA($A394:$D394)=0,"",IF($G394&lt;&gt;"",$G394,IF(AND($E394&lt;&gt;"",$F394&lt;&gt;""),$E394*$F394,""))*IF($J394&lt;&gt;"",$J394,1))</x:f>
      </x:c>
      <x:c r="N394" t="str">
        <x:f>IF(COUNTA($A394:$D394)=0,"",IF($H394&lt;&gt;"",$H394,0)*IF($J394&lt;&gt;"",$J394,1))</x:f>
      </x:c>
      <x:c r="O394" t="str">
        <x:f>IF(COUNTA($A394:$D394)=0,"",SWITCH(LOWER($D394),"buy",IFERROR(LOOKUP(2,1/($B$1:B393=B394),$O$1:O393),0)+$E394,"drip",IFERROR(LOOKUP(2,1/($B$1:B393=B394),$O$1:O393),0)+$E394,"sell",IFERROR(LOOKUP(2,1/($B$1:B393=B394),$O$1:O393),0)-$E394,"return_of_capital",IFERROR(LOOKUP(2,1/($B$1:B393=B394),$O$1:O393),0),"split",$E394,IFERROR(LOOKUP(2,1/($B$1:B393=B394),$O$1:O393),0)))</x:f>
      </x:c>
      <x:c r="P394" t="str">
        <x:f>IF(COUNTA($A394:$D394)=0,"",SWITCH(LOWER($D394),"buy",IFERROR(LOOKUP(2,1/($B$1:B393=B394),$P$1:P393),0)+$M394+$N394,"drip",IFERROR(LOOKUP(2,1/($B$1:B393=B394),$P$1:P393),0)+$M394+$N394,"sell",IFERROR(LOOKUP(2,1/($B$1:B393=B394),$P$1:P393),0)-IFERROR(IFERROR(LOOKUP(2,1/($B$1:B393=B394),$P$1:P393),0)/IFERROR(LOOKUP(2,1/($B$1:B393=B394),$O$1:O393),0)*$E394,0),"return_of_capital",IFERROR(LOOKUP(2,1/($B$1:B393=B394),$P$1:P393),0)-ABS($M394),"split",IFERROR(LOOKUP(2,1/($B$1:B393=B394),$P$1:P393),0),IFERROR(LOOKUP(2,1/($B$1:B393=B394),$P$1:P393),0)))</x:f>
      </x:c>
      <x:c r="Q394" t="str">
        <x:f>IFERROR($P394/$O394,"")</x:f>
      </x:c>
      <x:c r="R394" t="str">
        <x:f>IF(LOWER($D394)="sell",$M394-$N394-IFERROR(IFERROR(LOOKUP(2,1/($B$1:B393=B394),$P$1:P393),0)/IFERROR(LOOKUP(2,1/($B$1:B393=B394),$O$1:O393),0)*$E394,0),"")</x:f>
      </x:c>
      <x:c r="S394" t="str">
        <x:f>IF(COUNTA($A394:$D394)=0,"",IF($B394="","Missing symbol",IF($D394="","Missing action",IF(AND(LOWER($D394)="sell",$E394&gt;IFERROR(LOOKUP(2,1/($B$1:B393=B394),$O$1:O393),0)),"Sold more units than available","OK"))))</x:f>
      </x:c>
    </x:row>
    <x:row r="395">
      <x:c r="M395" t="str">
        <x:f>IF(COUNTA($A395:$D395)=0,"",IF($G395&lt;&gt;"",$G395,IF(AND($E395&lt;&gt;"",$F395&lt;&gt;""),$E395*$F395,""))*IF($J395&lt;&gt;"",$J395,1))</x:f>
      </x:c>
      <x:c r="N395" t="str">
        <x:f>IF(COUNTA($A395:$D395)=0,"",IF($H395&lt;&gt;"",$H395,0)*IF($J395&lt;&gt;"",$J395,1))</x:f>
      </x:c>
      <x:c r="O395" t="str">
        <x:f>IF(COUNTA($A395:$D395)=0,"",SWITCH(LOWER($D395),"buy",IFERROR(LOOKUP(2,1/($B$1:B394=B395),$O$1:O394),0)+$E395,"drip",IFERROR(LOOKUP(2,1/($B$1:B394=B395),$O$1:O394),0)+$E395,"sell",IFERROR(LOOKUP(2,1/($B$1:B394=B395),$O$1:O394),0)-$E395,"return_of_capital",IFERROR(LOOKUP(2,1/($B$1:B394=B395),$O$1:O394),0),"split",$E395,IFERROR(LOOKUP(2,1/($B$1:B394=B395),$O$1:O394),0)))</x:f>
      </x:c>
      <x:c r="P395" t="str">
        <x:f>IF(COUNTA($A395:$D395)=0,"",SWITCH(LOWER($D395),"buy",IFERROR(LOOKUP(2,1/($B$1:B394=B395),$P$1:P394),0)+$M395+$N395,"drip",IFERROR(LOOKUP(2,1/($B$1:B394=B395),$P$1:P394),0)+$M395+$N395,"sell",IFERROR(LOOKUP(2,1/($B$1:B394=B395),$P$1:P394),0)-IFERROR(IFERROR(LOOKUP(2,1/($B$1:B394=B395),$P$1:P394),0)/IFERROR(LOOKUP(2,1/($B$1:B394=B395),$O$1:O394),0)*$E395,0),"return_of_capital",IFERROR(LOOKUP(2,1/($B$1:B394=B395),$P$1:P394),0)-ABS($M395),"split",IFERROR(LOOKUP(2,1/($B$1:B394=B395),$P$1:P394),0),IFERROR(LOOKUP(2,1/($B$1:B394=B395),$P$1:P394),0)))</x:f>
      </x:c>
      <x:c r="Q395" t="str">
        <x:f>IFERROR($P395/$O395,"")</x:f>
      </x:c>
      <x:c r="R395" t="str">
        <x:f>IF(LOWER($D395)="sell",$M395-$N395-IFERROR(IFERROR(LOOKUP(2,1/($B$1:B394=B395),$P$1:P394),0)/IFERROR(LOOKUP(2,1/($B$1:B394=B395),$O$1:O394),0)*$E395,0),"")</x:f>
      </x:c>
      <x:c r="S395" t="str">
        <x:f>IF(COUNTA($A395:$D395)=0,"",IF($B395="","Missing symbol",IF($D395="","Missing action",IF(AND(LOWER($D395)="sell",$E395&gt;IFERROR(LOOKUP(2,1/($B$1:B394=B395),$O$1:O394),0)),"Sold more units than available","OK"))))</x:f>
      </x:c>
    </x:row>
    <x:row r="396">
      <x:c r="M396" t="str">
        <x:f>IF(COUNTA($A396:$D396)=0,"",IF($G396&lt;&gt;"",$G396,IF(AND($E396&lt;&gt;"",$F396&lt;&gt;""),$E396*$F396,""))*IF($J396&lt;&gt;"",$J396,1))</x:f>
      </x:c>
      <x:c r="N396" t="str">
        <x:f>IF(COUNTA($A396:$D396)=0,"",IF($H396&lt;&gt;"",$H396,0)*IF($J396&lt;&gt;"",$J396,1))</x:f>
      </x:c>
      <x:c r="O396" t="str">
        <x:f>IF(COUNTA($A396:$D396)=0,"",SWITCH(LOWER($D396),"buy",IFERROR(LOOKUP(2,1/($B$1:B395=B396),$O$1:O395),0)+$E396,"drip",IFERROR(LOOKUP(2,1/($B$1:B395=B396),$O$1:O395),0)+$E396,"sell",IFERROR(LOOKUP(2,1/($B$1:B395=B396),$O$1:O395),0)-$E396,"return_of_capital",IFERROR(LOOKUP(2,1/($B$1:B395=B396),$O$1:O395),0),"split",$E396,IFERROR(LOOKUP(2,1/($B$1:B395=B396),$O$1:O395),0)))</x:f>
      </x:c>
      <x:c r="P396" t="str">
        <x:f>IF(COUNTA($A396:$D396)=0,"",SWITCH(LOWER($D396),"buy",IFERROR(LOOKUP(2,1/($B$1:B395=B396),$P$1:P395),0)+$M396+$N396,"drip",IFERROR(LOOKUP(2,1/($B$1:B395=B396),$P$1:P395),0)+$M396+$N396,"sell",IFERROR(LOOKUP(2,1/($B$1:B395=B396),$P$1:P395),0)-IFERROR(IFERROR(LOOKUP(2,1/($B$1:B395=B396),$P$1:P395),0)/IFERROR(LOOKUP(2,1/($B$1:B395=B396),$O$1:O395),0)*$E396,0),"return_of_capital",IFERROR(LOOKUP(2,1/($B$1:B395=B396),$P$1:P395),0)-ABS($M396),"split",IFERROR(LOOKUP(2,1/($B$1:B395=B396),$P$1:P395),0),IFERROR(LOOKUP(2,1/($B$1:B395=B396),$P$1:P395),0)))</x:f>
      </x:c>
      <x:c r="Q396" t="str">
        <x:f>IFERROR($P396/$O396,"")</x:f>
      </x:c>
      <x:c r="R396" t="str">
        <x:f>IF(LOWER($D396)="sell",$M396-$N396-IFERROR(IFERROR(LOOKUP(2,1/($B$1:B395=B396),$P$1:P395),0)/IFERROR(LOOKUP(2,1/($B$1:B395=B396),$O$1:O395),0)*$E396,0),"")</x:f>
      </x:c>
      <x:c r="S396" t="str">
        <x:f>IF(COUNTA($A396:$D396)=0,"",IF($B396="","Missing symbol",IF($D396="","Missing action",IF(AND(LOWER($D396)="sell",$E396&gt;IFERROR(LOOKUP(2,1/($B$1:B395=B396),$O$1:O395),0)),"Sold more units than available","OK"))))</x:f>
      </x:c>
    </x:row>
    <x:row r="397">
      <x:c r="M397" t="str">
        <x:f>IF(COUNTA($A397:$D397)=0,"",IF($G397&lt;&gt;"",$G397,IF(AND($E397&lt;&gt;"",$F397&lt;&gt;""),$E397*$F397,""))*IF($J397&lt;&gt;"",$J397,1))</x:f>
      </x:c>
      <x:c r="N397" t="str">
        <x:f>IF(COUNTA($A397:$D397)=0,"",IF($H397&lt;&gt;"",$H397,0)*IF($J397&lt;&gt;"",$J397,1))</x:f>
      </x:c>
      <x:c r="O397" t="str">
        <x:f>IF(COUNTA($A397:$D397)=0,"",SWITCH(LOWER($D397),"buy",IFERROR(LOOKUP(2,1/($B$1:B396=B397),$O$1:O396),0)+$E397,"drip",IFERROR(LOOKUP(2,1/($B$1:B396=B397),$O$1:O396),0)+$E397,"sell",IFERROR(LOOKUP(2,1/($B$1:B396=B397),$O$1:O396),0)-$E397,"return_of_capital",IFERROR(LOOKUP(2,1/($B$1:B396=B397),$O$1:O396),0),"split",$E397,IFERROR(LOOKUP(2,1/($B$1:B396=B397),$O$1:O396),0)))</x:f>
      </x:c>
      <x:c r="P397" t="str">
        <x:f>IF(COUNTA($A397:$D397)=0,"",SWITCH(LOWER($D397),"buy",IFERROR(LOOKUP(2,1/($B$1:B396=B397),$P$1:P396),0)+$M397+$N397,"drip",IFERROR(LOOKUP(2,1/($B$1:B396=B397),$P$1:P396),0)+$M397+$N397,"sell",IFERROR(LOOKUP(2,1/($B$1:B396=B397),$P$1:P396),0)-IFERROR(IFERROR(LOOKUP(2,1/($B$1:B396=B397),$P$1:P396),0)/IFERROR(LOOKUP(2,1/($B$1:B396=B397),$O$1:O396),0)*$E397,0),"return_of_capital",IFERROR(LOOKUP(2,1/($B$1:B396=B397),$P$1:P396),0)-ABS($M397),"split",IFERROR(LOOKUP(2,1/($B$1:B396=B397),$P$1:P396),0),IFERROR(LOOKUP(2,1/($B$1:B396=B397),$P$1:P396),0)))</x:f>
      </x:c>
      <x:c r="Q397" t="str">
        <x:f>IFERROR($P397/$O397,"")</x:f>
      </x:c>
      <x:c r="R397" t="str">
        <x:f>IF(LOWER($D397)="sell",$M397-$N397-IFERROR(IFERROR(LOOKUP(2,1/($B$1:B396=B397),$P$1:P396),0)/IFERROR(LOOKUP(2,1/($B$1:B396=B397),$O$1:O396),0)*$E397,0),"")</x:f>
      </x:c>
      <x:c r="S397" t="str">
        <x:f>IF(COUNTA($A397:$D397)=0,"",IF($B397="","Missing symbol",IF($D397="","Missing action",IF(AND(LOWER($D397)="sell",$E397&gt;IFERROR(LOOKUP(2,1/($B$1:B396=B397),$O$1:O396),0)),"Sold more units than available","OK"))))</x:f>
      </x:c>
    </x:row>
    <x:row r="398">
      <x:c r="M398" t="str">
        <x:f>IF(COUNTA($A398:$D398)=0,"",IF($G398&lt;&gt;"",$G398,IF(AND($E398&lt;&gt;"",$F398&lt;&gt;""),$E398*$F398,""))*IF($J398&lt;&gt;"",$J398,1))</x:f>
      </x:c>
      <x:c r="N398" t="str">
        <x:f>IF(COUNTA($A398:$D398)=0,"",IF($H398&lt;&gt;"",$H398,0)*IF($J398&lt;&gt;"",$J398,1))</x:f>
      </x:c>
      <x:c r="O398" t="str">
        <x:f>IF(COUNTA($A398:$D398)=0,"",SWITCH(LOWER($D398),"buy",IFERROR(LOOKUP(2,1/($B$1:B397=B398),$O$1:O397),0)+$E398,"drip",IFERROR(LOOKUP(2,1/($B$1:B397=B398),$O$1:O397),0)+$E398,"sell",IFERROR(LOOKUP(2,1/($B$1:B397=B398),$O$1:O397),0)-$E398,"return_of_capital",IFERROR(LOOKUP(2,1/($B$1:B397=B398),$O$1:O397),0),"split",$E398,IFERROR(LOOKUP(2,1/($B$1:B397=B398),$O$1:O397),0)))</x:f>
      </x:c>
      <x:c r="P398" t="str">
        <x:f>IF(COUNTA($A398:$D398)=0,"",SWITCH(LOWER($D398),"buy",IFERROR(LOOKUP(2,1/($B$1:B397=B398),$P$1:P397),0)+$M398+$N398,"drip",IFERROR(LOOKUP(2,1/($B$1:B397=B398),$P$1:P397),0)+$M398+$N398,"sell",IFERROR(LOOKUP(2,1/($B$1:B397=B398),$P$1:P397),0)-IFERROR(IFERROR(LOOKUP(2,1/($B$1:B397=B398),$P$1:P397),0)/IFERROR(LOOKUP(2,1/($B$1:B397=B398),$O$1:O397),0)*$E398,0),"return_of_capital",IFERROR(LOOKUP(2,1/($B$1:B397=B398),$P$1:P397),0)-ABS($M398),"split",IFERROR(LOOKUP(2,1/($B$1:B397=B398),$P$1:P397),0),IFERROR(LOOKUP(2,1/($B$1:B397=B398),$P$1:P397),0)))</x:f>
      </x:c>
      <x:c r="Q398" t="str">
        <x:f>IFERROR($P398/$O398,"")</x:f>
      </x:c>
      <x:c r="R398" t="str">
        <x:f>IF(LOWER($D398)="sell",$M398-$N398-IFERROR(IFERROR(LOOKUP(2,1/($B$1:B397=B398),$P$1:P397),0)/IFERROR(LOOKUP(2,1/($B$1:B397=B398),$O$1:O397),0)*$E398,0),"")</x:f>
      </x:c>
      <x:c r="S398" t="str">
        <x:f>IF(COUNTA($A398:$D398)=0,"",IF($B398="","Missing symbol",IF($D398="","Missing action",IF(AND(LOWER($D398)="sell",$E398&gt;IFERROR(LOOKUP(2,1/($B$1:B397=B398),$O$1:O397),0)),"Sold more units than available","OK"))))</x:f>
      </x:c>
    </x:row>
    <x:row r="399">
      <x:c r="M399" t="str">
        <x:f>IF(COUNTA($A399:$D399)=0,"",IF($G399&lt;&gt;"",$G399,IF(AND($E399&lt;&gt;"",$F399&lt;&gt;""),$E399*$F399,""))*IF($J399&lt;&gt;"",$J399,1))</x:f>
      </x:c>
      <x:c r="N399" t="str">
        <x:f>IF(COUNTA($A399:$D399)=0,"",IF($H399&lt;&gt;"",$H399,0)*IF($J399&lt;&gt;"",$J399,1))</x:f>
      </x:c>
      <x:c r="O399" t="str">
        <x:f>IF(COUNTA($A399:$D399)=0,"",SWITCH(LOWER($D399),"buy",IFERROR(LOOKUP(2,1/($B$1:B398=B399),$O$1:O398),0)+$E399,"drip",IFERROR(LOOKUP(2,1/($B$1:B398=B399),$O$1:O398),0)+$E399,"sell",IFERROR(LOOKUP(2,1/($B$1:B398=B399),$O$1:O398),0)-$E399,"return_of_capital",IFERROR(LOOKUP(2,1/($B$1:B398=B399),$O$1:O398),0),"split",$E399,IFERROR(LOOKUP(2,1/($B$1:B398=B399),$O$1:O398),0)))</x:f>
      </x:c>
      <x:c r="P399" t="str">
        <x:f>IF(COUNTA($A399:$D399)=0,"",SWITCH(LOWER($D399),"buy",IFERROR(LOOKUP(2,1/($B$1:B398=B399),$P$1:P398),0)+$M399+$N399,"drip",IFERROR(LOOKUP(2,1/($B$1:B398=B399),$P$1:P398),0)+$M399+$N399,"sell",IFERROR(LOOKUP(2,1/($B$1:B398=B399),$P$1:P398),0)-IFERROR(IFERROR(LOOKUP(2,1/($B$1:B398=B399),$P$1:P398),0)/IFERROR(LOOKUP(2,1/($B$1:B398=B399),$O$1:O398),0)*$E399,0),"return_of_capital",IFERROR(LOOKUP(2,1/($B$1:B398=B399),$P$1:P398),0)-ABS($M399),"split",IFERROR(LOOKUP(2,1/($B$1:B398=B399),$P$1:P398),0),IFERROR(LOOKUP(2,1/($B$1:B398=B399),$P$1:P398),0)))</x:f>
      </x:c>
      <x:c r="Q399" t="str">
        <x:f>IFERROR($P399/$O399,"")</x:f>
      </x:c>
      <x:c r="R399" t="str">
        <x:f>IF(LOWER($D399)="sell",$M399-$N399-IFERROR(IFERROR(LOOKUP(2,1/($B$1:B398=B399),$P$1:P398),0)/IFERROR(LOOKUP(2,1/($B$1:B398=B399),$O$1:O398),0)*$E399,0),"")</x:f>
      </x:c>
      <x:c r="S399" t="str">
        <x:f>IF(COUNTA($A399:$D399)=0,"",IF($B399="","Missing symbol",IF($D399="","Missing action",IF(AND(LOWER($D399)="sell",$E399&gt;IFERROR(LOOKUP(2,1/($B$1:B398=B399),$O$1:O398),0)),"Sold more units than available","OK"))))</x:f>
      </x:c>
    </x:row>
    <x:row r="400">
      <x:c r="M400" t="str">
        <x:f>IF(COUNTA($A400:$D400)=0,"",IF($G400&lt;&gt;"",$G400,IF(AND($E400&lt;&gt;"",$F400&lt;&gt;""),$E400*$F400,""))*IF($J400&lt;&gt;"",$J400,1))</x:f>
      </x:c>
      <x:c r="N400" t="str">
        <x:f>IF(COUNTA($A400:$D400)=0,"",IF($H400&lt;&gt;"",$H400,0)*IF($J400&lt;&gt;"",$J400,1))</x:f>
      </x:c>
      <x:c r="O400" t="str">
        <x:f>IF(COUNTA($A400:$D400)=0,"",SWITCH(LOWER($D400),"buy",IFERROR(LOOKUP(2,1/($B$1:B399=B400),$O$1:O399),0)+$E400,"drip",IFERROR(LOOKUP(2,1/($B$1:B399=B400),$O$1:O399),0)+$E400,"sell",IFERROR(LOOKUP(2,1/($B$1:B399=B400),$O$1:O399),0)-$E400,"return_of_capital",IFERROR(LOOKUP(2,1/($B$1:B399=B400),$O$1:O399),0),"split",$E400,IFERROR(LOOKUP(2,1/($B$1:B399=B400),$O$1:O399),0)))</x:f>
      </x:c>
      <x:c r="P400" t="str">
        <x:f>IF(COUNTA($A400:$D400)=0,"",SWITCH(LOWER($D400),"buy",IFERROR(LOOKUP(2,1/($B$1:B399=B400),$P$1:P399),0)+$M400+$N400,"drip",IFERROR(LOOKUP(2,1/($B$1:B399=B400),$P$1:P399),0)+$M400+$N400,"sell",IFERROR(LOOKUP(2,1/($B$1:B399=B400),$P$1:P399),0)-IFERROR(IFERROR(LOOKUP(2,1/($B$1:B399=B400),$P$1:P399),0)/IFERROR(LOOKUP(2,1/($B$1:B399=B400),$O$1:O399),0)*$E400,0),"return_of_capital",IFERROR(LOOKUP(2,1/($B$1:B399=B400),$P$1:P399),0)-ABS($M400),"split",IFERROR(LOOKUP(2,1/($B$1:B399=B400),$P$1:P399),0),IFERROR(LOOKUP(2,1/($B$1:B399=B400),$P$1:P399),0)))</x:f>
      </x:c>
      <x:c r="Q400" t="str">
        <x:f>IFERROR($P400/$O400,"")</x:f>
      </x:c>
      <x:c r="R400" t="str">
        <x:f>IF(LOWER($D400)="sell",$M400-$N400-IFERROR(IFERROR(LOOKUP(2,1/($B$1:B399=B400),$P$1:P399),0)/IFERROR(LOOKUP(2,1/($B$1:B399=B400),$O$1:O399),0)*$E400,0),"")</x:f>
      </x:c>
      <x:c r="S400" t="str">
        <x:f>IF(COUNTA($A400:$D400)=0,"",IF($B400="","Missing symbol",IF($D400="","Missing action",IF(AND(LOWER($D400)="sell",$E400&gt;IFERROR(LOOKUP(2,1/($B$1:B399=B400),$O$1:O399),0)),"Sold more units than available","OK"))))</x:f>
      </x:c>
    </x:row>
    <x:row r="401">
      <x:c r="M401" t="str">
        <x:f>IF(COUNTA($A401:$D401)=0,"",IF($G401&lt;&gt;"",$G401,IF(AND($E401&lt;&gt;"",$F401&lt;&gt;""),$E401*$F401,""))*IF($J401&lt;&gt;"",$J401,1))</x:f>
      </x:c>
      <x:c r="N401" t="str">
        <x:f>IF(COUNTA($A401:$D401)=0,"",IF($H401&lt;&gt;"",$H401,0)*IF($J401&lt;&gt;"",$J401,1))</x:f>
      </x:c>
      <x:c r="O401" t="str">
        <x:f>IF(COUNTA($A401:$D401)=0,"",SWITCH(LOWER($D401),"buy",IFERROR(LOOKUP(2,1/($B$1:B400=B401),$O$1:O400),0)+$E401,"drip",IFERROR(LOOKUP(2,1/($B$1:B400=B401),$O$1:O400),0)+$E401,"sell",IFERROR(LOOKUP(2,1/($B$1:B400=B401),$O$1:O400),0)-$E401,"return_of_capital",IFERROR(LOOKUP(2,1/($B$1:B400=B401),$O$1:O400),0),"split",$E401,IFERROR(LOOKUP(2,1/($B$1:B400=B401),$O$1:O400),0)))</x:f>
      </x:c>
      <x:c r="P401" t="str">
        <x:f>IF(COUNTA($A401:$D401)=0,"",SWITCH(LOWER($D401),"buy",IFERROR(LOOKUP(2,1/($B$1:B400=B401),$P$1:P400),0)+$M401+$N401,"drip",IFERROR(LOOKUP(2,1/($B$1:B400=B401),$P$1:P400),0)+$M401+$N401,"sell",IFERROR(LOOKUP(2,1/($B$1:B400=B401),$P$1:P400),0)-IFERROR(IFERROR(LOOKUP(2,1/($B$1:B400=B401),$P$1:P400),0)/IFERROR(LOOKUP(2,1/($B$1:B400=B401),$O$1:O400),0)*$E401,0),"return_of_capital",IFERROR(LOOKUP(2,1/($B$1:B400=B401),$P$1:P400),0)-ABS($M401),"split",IFERROR(LOOKUP(2,1/($B$1:B400=B401),$P$1:P400),0),IFERROR(LOOKUP(2,1/($B$1:B400=B401),$P$1:P400),0)))</x:f>
      </x:c>
      <x:c r="Q401" t="str">
        <x:f>IFERROR($P401/$O401,"")</x:f>
      </x:c>
      <x:c r="R401" t="str">
        <x:f>IF(LOWER($D401)="sell",$M401-$N401-IFERROR(IFERROR(LOOKUP(2,1/($B$1:B400=B401),$P$1:P400),0)/IFERROR(LOOKUP(2,1/($B$1:B400=B401),$O$1:O400),0)*$E401,0),"")</x:f>
      </x:c>
      <x:c r="S401" t="str">
        <x:f>IF(COUNTA($A401:$D401)=0,"",IF($B401="","Missing symbol",IF($D401="","Missing action",IF(AND(LOWER($D401)="sell",$E401&gt;IFERROR(LOOKUP(2,1/($B$1:B400=B401),$O$1:O400),0)),"Sold more units than available","OK"))))</x:f>
      </x:c>
    </x:row>
    <x:row r="402">
      <x:c r="M402" t="str">
        <x:f>IF(COUNTA($A402:$D402)=0,"",IF($G402&lt;&gt;"",$G402,IF(AND($E402&lt;&gt;"",$F402&lt;&gt;""),$E402*$F402,""))*IF($J402&lt;&gt;"",$J402,1))</x:f>
      </x:c>
      <x:c r="N402" t="str">
        <x:f>IF(COUNTA($A402:$D402)=0,"",IF($H402&lt;&gt;"",$H402,0)*IF($J402&lt;&gt;"",$J402,1))</x:f>
      </x:c>
      <x:c r="O402" t="str">
        <x:f>IF(COUNTA($A402:$D402)=0,"",SWITCH(LOWER($D402),"buy",IFERROR(LOOKUP(2,1/($B$1:B401=B402),$O$1:O401),0)+$E402,"drip",IFERROR(LOOKUP(2,1/($B$1:B401=B402),$O$1:O401),0)+$E402,"sell",IFERROR(LOOKUP(2,1/($B$1:B401=B402),$O$1:O401),0)-$E402,"return_of_capital",IFERROR(LOOKUP(2,1/($B$1:B401=B402),$O$1:O401),0),"split",$E402,IFERROR(LOOKUP(2,1/($B$1:B401=B402),$O$1:O401),0)))</x:f>
      </x:c>
      <x:c r="P402" t="str">
        <x:f>IF(COUNTA($A402:$D402)=0,"",SWITCH(LOWER($D402),"buy",IFERROR(LOOKUP(2,1/($B$1:B401=B402),$P$1:P401),0)+$M402+$N402,"drip",IFERROR(LOOKUP(2,1/($B$1:B401=B402),$P$1:P401),0)+$M402+$N402,"sell",IFERROR(LOOKUP(2,1/($B$1:B401=B402),$P$1:P401),0)-IFERROR(IFERROR(LOOKUP(2,1/($B$1:B401=B402),$P$1:P401),0)/IFERROR(LOOKUP(2,1/($B$1:B401=B402),$O$1:O401),0)*$E402,0),"return_of_capital",IFERROR(LOOKUP(2,1/($B$1:B401=B402),$P$1:P401),0)-ABS($M402),"split",IFERROR(LOOKUP(2,1/($B$1:B401=B402),$P$1:P401),0),IFERROR(LOOKUP(2,1/($B$1:B401=B402),$P$1:P401),0)))</x:f>
      </x:c>
      <x:c r="Q402" t="str">
        <x:f>IFERROR($P402/$O402,"")</x:f>
      </x:c>
      <x:c r="R402" t="str">
        <x:f>IF(LOWER($D402)="sell",$M402-$N402-IFERROR(IFERROR(LOOKUP(2,1/($B$1:B401=B402),$P$1:P401),0)/IFERROR(LOOKUP(2,1/($B$1:B401=B402),$O$1:O401),0)*$E402,0),"")</x:f>
      </x:c>
      <x:c r="S402" t="str">
        <x:f>IF(COUNTA($A402:$D402)=0,"",IF($B402="","Missing symbol",IF($D402="","Missing action",IF(AND(LOWER($D402)="sell",$E402&gt;IFERROR(LOOKUP(2,1/($B$1:B401=B402),$O$1:O401),0)),"Sold more units than available","OK"))))</x:f>
      </x:c>
    </x:row>
    <x:row r="403">
      <x:c r="M403" t="str">
        <x:f>IF(COUNTA($A403:$D403)=0,"",IF($G403&lt;&gt;"",$G403,IF(AND($E403&lt;&gt;"",$F403&lt;&gt;""),$E403*$F403,""))*IF($J403&lt;&gt;"",$J403,1))</x:f>
      </x:c>
      <x:c r="N403" t="str">
        <x:f>IF(COUNTA($A403:$D403)=0,"",IF($H403&lt;&gt;"",$H403,0)*IF($J403&lt;&gt;"",$J403,1))</x:f>
      </x:c>
      <x:c r="O403" t="str">
        <x:f>IF(COUNTA($A403:$D403)=0,"",SWITCH(LOWER($D403),"buy",IFERROR(LOOKUP(2,1/($B$1:B402=B403),$O$1:O402),0)+$E403,"drip",IFERROR(LOOKUP(2,1/($B$1:B402=B403),$O$1:O402),0)+$E403,"sell",IFERROR(LOOKUP(2,1/($B$1:B402=B403),$O$1:O402),0)-$E403,"return_of_capital",IFERROR(LOOKUP(2,1/($B$1:B402=B403),$O$1:O402),0),"split",$E403,IFERROR(LOOKUP(2,1/($B$1:B402=B403),$O$1:O402),0)))</x:f>
      </x:c>
      <x:c r="P403" t="str">
        <x:f>IF(COUNTA($A403:$D403)=0,"",SWITCH(LOWER($D403),"buy",IFERROR(LOOKUP(2,1/($B$1:B402=B403),$P$1:P402),0)+$M403+$N403,"drip",IFERROR(LOOKUP(2,1/($B$1:B402=B403),$P$1:P402),0)+$M403+$N403,"sell",IFERROR(LOOKUP(2,1/($B$1:B402=B403),$P$1:P402),0)-IFERROR(IFERROR(LOOKUP(2,1/($B$1:B402=B403),$P$1:P402),0)/IFERROR(LOOKUP(2,1/($B$1:B402=B403),$O$1:O402),0)*$E403,0),"return_of_capital",IFERROR(LOOKUP(2,1/($B$1:B402=B403),$P$1:P402),0)-ABS($M403),"split",IFERROR(LOOKUP(2,1/($B$1:B402=B403),$P$1:P402),0),IFERROR(LOOKUP(2,1/($B$1:B402=B403),$P$1:P402),0)))</x:f>
      </x:c>
      <x:c r="Q403" t="str">
        <x:f>IFERROR($P403/$O403,"")</x:f>
      </x:c>
      <x:c r="R403" t="str">
        <x:f>IF(LOWER($D403)="sell",$M403-$N403-IFERROR(IFERROR(LOOKUP(2,1/($B$1:B402=B403),$P$1:P402),0)/IFERROR(LOOKUP(2,1/($B$1:B402=B403),$O$1:O402),0)*$E403,0),"")</x:f>
      </x:c>
      <x:c r="S403" t="str">
        <x:f>IF(COUNTA($A403:$D403)=0,"",IF($B403="","Missing symbol",IF($D403="","Missing action",IF(AND(LOWER($D403)="sell",$E403&gt;IFERROR(LOOKUP(2,1/($B$1:B402=B403),$O$1:O402),0)),"Sold more units than available","OK"))))</x:f>
      </x:c>
    </x:row>
    <x:row r="404">
      <x:c r="M404" t="str">
        <x:f>IF(COUNTA($A404:$D404)=0,"",IF($G404&lt;&gt;"",$G404,IF(AND($E404&lt;&gt;"",$F404&lt;&gt;""),$E404*$F404,""))*IF($J404&lt;&gt;"",$J404,1))</x:f>
      </x:c>
      <x:c r="N404" t="str">
        <x:f>IF(COUNTA($A404:$D404)=0,"",IF($H404&lt;&gt;"",$H404,0)*IF($J404&lt;&gt;"",$J404,1))</x:f>
      </x:c>
      <x:c r="O404" t="str">
        <x:f>IF(COUNTA($A404:$D404)=0,"",SWITCH(LOWER($D404),"buy",IFERROR(LOOKUP(2,1/($B$1:B403=B404),$O$1:O403),0)+$E404,"drip",IFERROR(LOOKUP(2,1/($B$1:B403=B404),$O$1:O403),0)+$E404,"sell",IFERROR(LOOKUP(2,1/($B$1:B403=B404),$O$1:O403),0)-$E404,"return_of_capital",IFERROR(LOOKUP(2,1/($B$1:B403=B404),$O$1:O403),0),"split",$E404,IFERROR(LOOKUP(2,1/($B$1:B403=B404),$O$1:O403),0)))</x:f>
      </x:c>
      <x:c r="P404" t="str">
        <x:f>IF(COUNTA($A404:$D404)=0,"",SWITCH(LOWER($D404),"buy",IFERROR(LOOKUP(2,1/($B$1:B403=B404),$P$1:P403),0)+$M404+$N404,"drip",IFERROR(LOOKUP(2,1/($B$1:B403=B404),$P$1:P403),0)+$M404+$N404,"sell",IFERROR(LOOKUP(2,1/($B$1:B403=B404),$P$1:P403),0)-IFERROR(IFERROR(LOOKUP(2,1/($B$1:B403=B404),$P$1:P403),0)/IFERROR(LOOKUP(2,1/($B$1:B403=B404),$O$1:O403),0)*$E404,0),"return_of_capital",IFERROR(LOOKUP(2,1/($B$1:B403=B404),$P$1:P403),0)-ABS($M404),"split",IFERROR(LOOKUP(2,1/($B$1:B403=B404),$P$1:P403),0),IFERROR(LOOKUP(2,1/($B$1:B403=B404),$P$1:P403),0)))</x:f>
      </x:c>
      <x:c r="Q404" t="str">
        <x:f>IFERROR($P404/$O404,"")</x:f>
      </x:c>
      <x:c r="R404" t="str">
        <x:f>IF(LOWER($D404)="sell",$M404-$N404-IFERROR(IFERROR(LOOKUP(2,1/($B$1:B403=B404),$P$1:P403),0)/IFERROR(LOOKUP(2,1/($B$1:B403=B404),$O$1:O403),0)*$E404,0),"")</x:f>
      </x:c>
      <x:c r="S404" t="str">
        <x:f>IF(COUNTA($A404:$D404)=0,"",IF($B404="","Missing symbol",IF($D404="","Missing action",IF(AND(LOWER($D404)="sell",$E404&gt;IFERROR(LOOKUP(2,1/($B$1:B403=B404),$O$1:O403),0)),"Sold more units than available","OK"))))</x:f>
      </x:c>
    </x:row>
    <x:row r="405">
      <x:c r="M405" t="str">
        <x:f>IF(COUNTA($A405:$D405)=0,"",IF($G405&lt;&gt;"",$G405,IF(AND($E405&lt;&gt;"",$F405&lt;&gt;""),$E405*$F405,""))*IF($J405&lt;&gt;"",$J405,1))</x:f>
      </x:c>
      <x:c r="N405" t="str">
        <x:f>IF(COUNTA($A405:$D405)=0,"",IF($H405&lt;&gt;"",$H405,0)*IF($J405&lt;&gt;"",$J405,1))</x:f>
      </x:c>
      <x:c r="O405" t="str">
        <x:f>IF(COUNTA($A405:$D405)=0,"",SWITCH(LOWER($D405),"buy",IFERROR(LOOKUP(2,1/($B$1:B404=B405),$O$1:O404),0)+$E405,"drip",IFERROR(LOOKUP(2,1/($B$1:B404=B405),$O$1:O404),0)+$E405,"sell",IFERROR(LOOKUP(2,1/($B$1:B404=B405),$O$1:O404),0)-$E405,"return_of_capital",IFERROR(LOOKUP(2,1/($B$1:B404=B405),$O$1:O404),0),"split",$E405,IFERROR(LOOKUP(2,1/($B$1:B404=B405),$O$1:O404),0)))</x:f>
      </x:c>
      <x:c r="P405" t="str">
        <x:f>IF(COUNTA($A405:$D405)=0,"",SWITCH(LOWER($D405),"buy",IFERROR(LOOKUP(2,1/($B$1:B404=B405),$P$1:P404),0)+$M405+$N405,"drip",IFERROR(LOOKUP(2,1/($B$1:B404=B405),$P$1:P404),0)+$M405+$N405,"sell",IFERROR(LOOKUP(2,1/($B$1:B404=B405),$P$1:P404),0)-IFERROR(IFERROR(LOOKUP(2,1/($B$1:B404=B405),$P$1:P404),0)/IFERROR(LOOKUP(2,1/($B$1:B404=B405),$O$1:O404),0)*$E405,0),"return_of_capital",IFERROR(LOOKUP(2,1/($B$1:B404=B405),$P$1:P404),0)-ABS($M405),"split",IFERROR(LOOKUP(2,1/($B$1:B404=B405),$P$1:P404),0),IFERROR(LOOKUP(2,1/($B$1:B404=B405),$P$1:P404),0)))</x:f>
      </x:c>
      <x:c r="Q405" t="str">
        <x:f>IFERROR($P405/$O405,"")</x:f>
      </x:c>
      <x:c r="R405" t="str">
        <x:f>IF(LOWER($D405)="sell",$M405-$N405-IFERROR(IFERROR(LOOKUP(2,1/($B$1:B404=B405),$P$1:P404),0)/IFERROR(LOOKUP(2,1/($B$1:B404=B405),$O$1:O404),0)*$E405,0),"")</x:f>
      </x:c>
      <x:c r="S405" t="str">
        <x:f>IF(COUNTA($A405:$D405)=0,"",IF($B405="","Missing symbol",IF($D405="","Missing action",IF(AND(LOWER($D405)="sell",$E405&gt;IFERROR(LOOKUP(2,1/($B$1:B404=B405),$O$1:O404),0)),"Sold more units than available","OK"))))</x:f>
      </x:c>
    </x:row>
    <x:row r="406">
      <x:c r="M406" t="str">
        <x:f>IF(COUNTA($A406:$D406)=0,"",IF($G406&lt;&gt;"",$G406,IF(AND($E406&lt;&gt;"",$F406&lt;&gt;""),$E406*$F406,""))*IF($J406&lt;&gt;"",$J406,1))</x:f>
      </x:c>
      <x:c r="N406" t="str">
        <x:f>IF(COUNTA($A406:$D406)=0,"",IF($H406&lt;&gt;"",$H406,0)*IF($J406&lt;&gt;"",$J406,1))</x:f>
      </x:c>
      <x:c r="O406" t="str">
        <x:f>IF(COUNTA($A406:$D406)=0,"",SWITCH(LOWER($D406),"buy",IFERROR(LOOKUP(2,1/($B$1:B405=B406),$O$1:O405),0)+$E406,"drip",IFERROR(LOOKUP(2,1/($B$1:B405=B406),$O$1:O405),0)+$E406,"sell",IFERROR(LOOKUP(2,1/($B$1:B405=B406),$O$1:O405),0)-$E406,"return_of_capital",IFERROR(LOOKUP(2,1/($B$1:B405=B406),$O$1:O405),0),"split",$E406,IFERROR(LOOKUP(2,1/($B$1:B405=B406),$O$1:O405),0)))</x:f>
      </x:c>
      <x:c r="P406" t="str">
        <x:f>IF(COUNTA($A406:$D406)=0,"",SWITCH(LOWER($D406),"buy",IFERROR(LOOKUP(2,1/($B$1:B405=B406),$P$1:P405),0)+$M406+$N406,"drip",IFERROR(LOOKUP(2,1/($B$1:B405=B406),$P$1:P405),0)+$M406+$N406,"sell",IFERROR(LOOKUP(2,1/($B$1:B405=B406),$P$1:P405),0)-IFERROR(IFERROR(LOOKUP(2,1/($B$1:B405=B406),$P$1:P405),0)/IFERROR(LOOKUP(2,1/($B$1:B405=B406),$O$1:O405),0)*$E406,0),"return_of_capital",IFERROR(LOOKUP(2,1/($B$1:B405=B406),$P$1:P405),0)-ABS($M406),"split",IFERROR(LOOKUP(2,1/($B$1:B405=B406),$P$1:P405),0),IFERROR(LOOKUP(2,1/($B$1:B405=B406),$P$1:P405),0)))</x:f>
      </x:c>
      <x:c r="Q406" t="str">
        <x:f>IFERROR($P406/$O406,"")</x:f>
      </x:c>
      <x:c r="R406" t="str">
        <x:f>IF(LOWER($D406)="sell",$M406-$N406-IFERROR(IFERROR(LOOKUP(2,1/($B$1:B405=B406),$P$1:P405),0)/IFERROR(LOOKUP(2,1/($B$1:B405=B406),$O$1:O405),0)*$E406,0),"")</x:f>
      </x:c>
      <x:c r="S406" t="str">
        <x:f>IF(COUNTA($A406:$D406)=0,"",IF($B406="","Missing symbol",IF($D406="","Missing action",IF(AND(LOWER($D406)="sell",$E406&gt;IFERROR(LOOKUP(2,1/($B$1:B405=B406),$O$1:O405),0)),"Sold more units than available","OK"))))</x:f>
      </x:c>
    </x:row>
    <x:row r="407">
      <x:c r="M407" t="str">
        <x:f>IF(COUNTA($A407:$D407)=0,"",IF($G407&lt;&gt;"",$G407,IF(AND($E407&lt;&gt;"",$F407&lt;&gt;""),$E407*$F407,""))*IF($J407&lt;&gt;"",$J407,1))</x:f>
      </x:c>
      <x:c r="N407" t="str">
        <x:f>IF(COUNTA($A407:$D407)=0,"",IF($H407&lt;&gt;"",$H407,0)*IF($J407&lt;&gt;"",$J407,1))</x:f>
      </x:c>
      <x:c r="O407" t="str">
        <x:f>IF(COUNTA($A407:$D407)=0,"",SWITCH(LOWER($D407),"buy",IFERROR(LOOKUP(2,1/($B$1:B406=B407),$O$1:O406),0)+$E407,"drip",IFERROR(LOOKUP(2,1/($B$1:B406=B407),$O$1:O406),0)+$E407,"sell",IFERROR(LOOKUP(2,1/($B$1:B406=B407),$O$1:O406),0)-$E407,"return_of_capital",IFERROR(LOOKUP(2,1/($B$1:B406=B407),$O$1:O406),0),"split",$E407,IFERROR(LOOKUP(2,1/($B$1:B406=B407),$O$1:O406),0)))</x:f>
      </x:c>
      <x:c r="P407" t="str">
        <x:f>IF(COUNTA($A407:$D407)=0,"",SWITCH(LOWER($D407),"buy",IFERROR(LOOKUP(2,1/($B$1:B406=B407),$P$1:P406),0)+$M407+$N407,"drip",IFERROR(LOOKUP(2,1/($B$1:B406=B407),$P$1:P406),0)+$M407+$N407,"sell",IFERROR(LOOKUP(2,1/($B$1:B406=B407),$P$1:P406),0)-IFERROR(IFERROR(LOOKUP(2,1/($B$1:B406=B407),$P$1:P406),0)/IFERROR(LOOKUP(2,1/($B$1:B406=B407),$O$1:O406),0)*$E407,0),"return_of_capital",IFERROR(LOOKUP(2,1/($B$1:B406=B407),$P$1:P406),0)-ABS($M407),"split",IFERROR(LOOKUP(2,1/($B$1:B406=B407),$P$1:P406),0),IFERROR(LOOKUP(2,1/($B$1:B406=B407),$P$1:P406),0)))</x:f>
      </x:c>
      <x:c r="Q407" t="str">
        <x:f>IFERROR($P407/$O407,"")</x:f>
      </x:c>
      <x:c r="R407" t="str">
        <x:f>IF(LOWER($D407)="sell",$M407-$N407-IFERROR(IFERROR(LOOKUP(2,1/($B$1:B406=B407),$P$1:P406),0)/IFERROR(LOOKUP(2,1/($B$1:B406=B407),$O$1:O406),0)*$E407,0),"")</x:f>
      </x:c>
      <x:c r="S407" t="str">
        <x:f>IF(COUNTA($A407:$D407)=0,"",IF($B407="","Missing symbol",IF($D407="","Missing action",IF(AND(LOWER($D407)="sell",$E407&gt;IFERROR(LOOKUP(2,1/($B$1:B406=B407),$O$1:O406),0)),"Sold more units than available","OK"))))</x:f>
      </x:c>
    </x:row>
    <x:row r="408">
      <x:c r="M408" t="str">
        <x:f>IF(COUNTA($A408:$D408)=0,"",IF($G408&lt;&gt;"",$G408,IF(AND($E408&lt;&gt;"",$F408&lt;&gt;""),$E408*$F408,""))*IF($J408&lt;&gt;"",$J408,1))</x:f>
      </x:c>
      <x:c r="N408" t="str">
        <x:f>IF(COUNTA($A408:$D408)=0,"",IF($H408&lt;&gt;"",$H408,0)*IF($J408&lt;&gt;"",$J408,1))</x:f>
      </x:c>
      <x:c r="O408" t="str">
        <x:f>IF(COUNTA($A408:$D408)=0,"",SWITCH(LOWER($D408),"buy",IFERROR(LOOKUP(2,1/($B$1:B407=B408),$O$1:O407),0)+$E408,"drip",IFERROR(LOOKUP(2,1/($B$1:B407=B408),$O$1:O407),0)+$E408,"sell",IFERROR(LOOKUP(2,1/($B$1:B407=B408),$O$1:O407),0)-$E408,"return_of_capital",IFERROR(LOOKUP(2,1/($B$1:B407=B408),$O$1:O407),0),"split",$E408,IFERROR(LOOKUP(2,1/($B$1:B407=B408),$O$1:O407),0)))</x:f>
      </x:c>
      <x:c r="P408" t="str">
        <x:f>IF(COUNTA($A408:$D408)=0,"",SWITCH(LOWER($D408),"buy",IFERROR(LOOKUP(2,1/($B$1:B407=B408),$P$1:P407),0)+$M408+$N408,"drip",IFERROR(LOOKUP(2,1/($B$1:B407=B408),$P$1:P407),0)+$M408+$N408,"sell",IFERROR(LOOKUP(2,1/($B$1:B407=B408),$P$1:P407),0)-IFERROR(IFERROR(LOOKUP(2,1/($B$1:B407=B408),$P$1:P407),0)/IFERROR(LOOKUP(2,1/($B$1:B407=B408),$O$1:O407),0)*$E408,0),"return_of_capital",IFERROR(LOOKUP(2,1/($B$1:B407=B408),$P$1:P407),0)-ABS($M408),"split",IFERROR(LOOKUP(2,1/($B$1:B407=B408),$P$1:P407),0),IFERROR(LOOKUP(2,1/($B$1:B407=B408),$P$1:P407),0)))</x:f>
      </x:c>
      <x:c r="Q408" t="str">
        <x:f>IFERROR($P408/$O408,"")</x:f>
      </x:c>
      <x:c r="R408" t="str">
        <x:f>IF(LOWER($D408)="sell",$M408-$N408-IFERROR(IFERROR(LOOKUP(2,1/($B$1:B407=B408),$P$1:P407),0)/IFERROR(LOOKUP(2,1/($B$1:B407=B408),$O$1:O407),0)*$E408,0),"")</x:f>
      </x:c>
      <x:c r="S408" t="str">
        <x:f>IF(COUNTA($A408:$D408)=0,"",IF($B408="","Missing symbol",IF($D408="","Missing action",IF(AND(LOWER($D408)="sell",$E408&gt;IFERROR(LOOKUP(2,1/($B$1:B407=B408),$O$1:O407),0)),"Sold more units than available","OK"))))</x:f>
      </x:c>
    </x:row>
    <x:row r="409">
      <x:c r="M409" t="str">
        <x:f>IF(COUNTA($A409:$D409)=0,"",IF($G409&lt;&gt;"",$G409,IF(AND($E409&lt;&gt;"",$F409&lt;&gt;""),$E409*$F409,""))*IF($J409&lt;&gt;"",$J409,1))</x:f>
      </x:c>
      <x:c r="N409" t="str">
        <x:f>IF(COUNTA($A409:$D409)=0,"",IF($H409&lt;&gt;"",$H409,0)*IF($J409&lt;&gt;"",$J409,1))</x:f>
      </x:c>
      <x:c r="O409" t="str">
        <x:f>IF(COUNTA($A409:$D409)=0,"",SWITCH(LOWER($D409),"buy",IFERROR(LOOKUP(2,1/($B$1:B408=B409),$O$1:O408),0)+$E409,"drip",IFERROR(LOOKUP(2,1/($B$1:B408=B409),$O$1:O408),0)+$E409,"sell",IFERROR(LOOKUP(2,1/($B$1:B408=B409),$O$1:O408),0)-$E409,"return_of_capital",IFERROR(LOOKUP(2,1/($B$1:B408=B409),$O$1:O408),0),"split",$E409,IFERROR(LOOKUP(2,1/($B$1:B408=B409),$O$1:O408),0)))</x:f>
      </x:c>
      <x:c r="P409" t="str">
        <x:f>IF(COUNTA($A409:$D409)=0,"",SWITCH(LOWER($D409),"buy",IFERROR(LOOKUP(2,1/($B$1:B408=B409),$P$1:P408),0)+$M409+$N409,"drip",IFERROR(LOOKUP(2,1/($B$1:B408=B409),$P$1:P408),0)+$M409+$N409,"sell",IFERROR(LOOKUP(2,1/($B$1:B408=B409),$P$1:P408),0)-IFERROR(IFERROR(LOOKUP(2,1/($B$1:B408=B409),$P$1:P408),0)/IFERROR(LOOKUP(2,1/($B$1:B408=B409),$O$1:O408),0)*$E409,0),"return_of_capital",IFERROR(LOOKUP(2,1/($B$1:B408=B409),$P$1:P408),0)-ABS($M409),"split",IFERROR(LOOKUP(2,1/($B$1:B408=B409),$P$1:P408),0),IFERROR(LOOKUP(2,1/($B$1:B408=B409),$P$1:P408),0)))</x:f>
      </x:c>
      <x:c r="Q409" t="str">
        <x:f>IFERROR($P409/$O409,"")</x:f>
      </x:c>
      <x:c r="R409" t="str">
        <x:f>IF(LOWER($D409)="sell",$M409-$N409-IFERROR(IFERROR(LOOKUP(2,1/($B$1:B408=B409),$P$1:P408),0)/IFERROR(LOOKUP(2,1/($B$1:B408=B409),$O$1:O408),0)*$E409,0),"")</x:f>
      </x:c>
      <x:c r="S409" t="str">
        <x:f>IF(COUNTA($A409:$D409)=0,"",IF($B409="","Missing symbol",IF($D409="","Missing action",IF(AND(LOWER($D409)="sell",$E409&gt;IFERROR(LOOKUP(2,1/($B$1:B408=B409),$O$1:O408),0)),"Sold more units than available","OK"))))</x:f>
      </x:c>
    </x:row>
    <x:row r="410">
      <x:c r="M410" t="str">
        <x:f>IF(COUNTA($A410:$D410)=0,"",IF($G410&lt;&gt;"",$G410,IF(AND($E410&lt;&gt;"",$F410&lt;&gt;""),$E410*$F410,""))*IF($J410&lt;&gt;"",$J410,1))</x:f>
      </x:c>
      <x:c r="N410" t="str">
        <x:f>IF(COUNTA($A410:$D410)=0,"",IF($H410&lt;&gt;"",$H410,0)*IF($J410&lt;&gt;"",$J410,1))</x:f>
      </x:c>
      <x:c r="O410" t="str">
        <x:f>IF(COUNTA($A410:$D410)=0,"",SWITCH(LOWER($D410),"buy",IFERROR(LOOKUP(2,1/($B$1:B409=B410),$O$1:O409),0)+$E410,"drip",IFERROR(LOOKUP(2,1/($B$1:B409=B410),$O$1:O409),0)+$E410,"sell",IFERROR(LOOKUP(2,1/($B$1:B409=B410),$O$1:O409),0)-$E410,"return_of_capital",IFERROR(LOOKUP(2,1/($B$1:B409=B410),$O$1:O409),0),"split",$E410,IFERROR(LOOKUP(2,1/($B$1:B409=B410),$O$1:O409),0)))</x:f>
      </x:c>
      <x:c r="P410" t="str">
        <x:f>IF(COUNTA($A410:$D410)=0,"",SWITCH(LOWER($D410),"buy",IFERROR(LOOKUP(2,1/($B$1:B409=B410),$P$1:P409),0)+$M410+$N410,"drip",IFERROR(LOOKUP(2,1/($B$1:B409=B410),$P$1:P409),0)+$M410+$N410,"sell",IFERROR(LOOKUP(2,1/($B$1:B409=B410),$P$1:P409),0)-IFERROR(IFERROR(LOOKUP(2,1/($B$1:B409=B410),$P$1:P409),0)/IFERROR(LOOKUP(2,1/($B$1:B409=B410),$O$1:O409),0)*$E410,0),"return_of_capital",IFERROR(LOOKUP(2,1/($B$1:B409=B410),$P$1:P409),0)-ABS($M410),"split",IFERROR(LOOKUP(2,1/($B$1:B409=B410),$P$1:P409),0),IFERROR(LOOKUP(2,1/($B$1:B409=B410),$P$1:P409),0)))</x:f>
      </x:c>
      <x:c r="Q410" t="str">
        <x:f>IFERROR($P410/$O410,"")</x:f>
      </x:c>
      <x:c r="R410" t="str">
        <x:f>IF(LOWER($D410)="sell",$M410-$N410-IFERROR(IFERROR(LOOKUP(2,1/($B$1:B409=B410),$P$1:P409),0)/IFERROR(LOOKUP(2,1/($B$1:B409=B410),$O$1:O409),0)*$E410,0),"")</x:f>
      </x:c>
      <x:c r="S410" t="str">
        <x:f>IF(COUNTA($A410:$D410)=0,"",IF($B410="","Missing symbol",IF($D410="","Missing action",IF(AND(LOWER($D410)="sell",$E410&gt;IFERROR(LOOKUP(2,1/($B$1:B409=B410),$O$1:O409),0)),"Sold more units than available","OK"))))</x:f>
      </x:c>
    </x:row>
    <x:row r="411">
      <x:c r="M411" t="str">
        <x:f>IF(COUNTA($A411:$D411)=0,"",IF($G411&lt;&gt;"",$G411,IF(AND($E411&lt;&gt;"",$F411&lt;&gt;""),$E411*$F411,""))*IF($J411&lt;&gt;"",$J411,1))</x:f>
      </x:c>
      <x:c r="N411" t="str">
        <x:f>IF(COUNTA($A411:$D411)=0,"",IF($H411&lt;&gt;"",$H411,0)*IF($J411&lt;&gt;"",$J411,1))</x:f>
      </x:c>
      <x:c r="O411" t="str">
        <x:f>IF(COUNTA($A411:$D411)=0,"",SWITCH(LOWER($D411),"buy",IFERROR(LOOKUP(2,1/($B$1:B410=B411),$O$1:O410),0)+$E411,"drip",IFERROR(LOOKUP(2,1/($B$1:B410=B411),$O$1:O410),0)+$E411,"sell",IFERROR(LOOKUP(2,1/($B$1:B410=B411),$O$1:O410),0)-$E411,"return_of_capital",IFERROR(LOOKUP(2,1/($B$1:B410=B411),$O$1:O410),0),"split",$E411,IFERROR(LOOKUP(2,1/($B$1:B410=B411),$O$1:O410),0)))</x:f>
      </x:c>
      <x:c r="P411" t="str">
        <x:f>IF(COUNTA($A411:$D411)=0,"",SWITCH(LOWER($D411),"buy",IFERROR(LOOKUP(2,1/($B$1:B410=B411),$P$1:P410),0)+$M411+$N411,"drip",IFERROR(LOOKUP(2,1/($B$1:B410=B411),$P$1:P410),0)+$M411+$N411,"sell",IFERROR(LOOKUP(2,1/($B$1:B410=B411),$P$1:P410),0)-IFERROR(IFERROR(LOOKUP(2,1/($B$1:B410=B411),$P$1:P410),0)/IFERROR(LOOKUP(2,1/($B$1:B410=B411),$O$1:O410),0)*$E411,0),"return_of_capital",IFERROR(LOOKUP(2,1/($B$1:B410=B411),$P$1:P410),0)-ABS($M411),"split",IFERROR(LOOKUP(2,1/($B$1:B410=B411),$P$1:P410),0),IFERROR(LOOKUP(2,1/($B$1:B410=B411),$P$1:P410),0)))</x:f>
      </x:c>
      <x:c r="Q411" t="str">
        <x:f>IFERROR($P411/$O411,"")</x:f>
      </x:c>
      <x:c r="R411" t="str">
        <x:f>IF(LOWER($D411)="sell",$M411-$N411-IFERROR(IFERROR(LOOKUP(2,1/($B$1:B410=B411),$P$1:P410),0)/IFERROR(LOOKUP(2,1/($B$1:B410=B411),$O$1:O410),0)*$E411,0),"")</x:f>
      </x:c>
      <x:c r="S411" t="str">
        <x:f>IF(COUNTA($A411:$D411)=0,"",IF($B411="","Missing symbol",IF($D411="","Missing action",IF(AND(LOWER($D411)="sell",$E411&gt;IFERROR(LOOKUP(2,1/($B$1:B410=B411),$O$1:O410),0)),"Sold more units than available","OK"))))</x:f>
      </x:c>
    </x:row>
    <x:row r="412">
      <x:c r="M412" t="str">
        <x:f>IF(COUNTA($A412:$D412)=0,"",IF($G412&lt;&gt;"",$G412,IF(AND($E412&lt;&gt;"",$F412&lt;&gt;""),$E412*$F412,""))*IF($J412&lt;&gt;"",$J412,1))</x:f>
      </x:c>
      <x:c r="N412" t="str">
        <x:f>IF(COUNTA($A412:$D412)=0,"",IF($H412&lt;&gt;"",$H412,0)*IF($J412&lt;&gt;"",$J412,1))</x:f>
      </x:c>
      <x:c r="O412" t="str">
        <x:f>IF(COUNTA($A412:$D412)=0,"",SWITCH(LOWER($D412),"buy",IFERROR(LOOKUP(2,1/($B$1:B411=B412),$O$1:O411),0)+$E412,"drip",IFERROR(LOOKUP(2,1/($B$1:B411=B412),$O$1:O411),0)+$E412,"sell",IFERROR(LOOKUP(2,1/($B$1:B411=B412),$O$1:O411),0)-$E412,"return_of_capital",IFERROR(LOOKUP(2,1/($B$1:B411=B412),$O$1:O411),0),"split",$E412,IFERROR(LOOKUP(2,1/($B$1:B411=B412),$O$1:O411),0)))</x:f>
      </x:c>
      <x:c r="P412" t="str">
        <x:f>IF(COUNTA($A412:$D412)=0,"",SWITCH(LOWER($D412),"buy",IFERROR(LOOKUP(2,1/($B$1:B411=B412),$P$1:P411),0)+$M412+$N412,"drip",IFERROR(LOOKUP(2,1/($B$1:B411=B412),$P$1:P411),0)+$M412+$N412,"sell",IFERROR(LOOKUP(2,1/($B$1:B411=B412),$P$1:P411),0)-IFERROR(IFERROR(LOOKUP(2,1/($B$1:B411=B412),$P$1:P411),0)/IFERROR(LOOKUP(2,1/($B$1:B411=B412),$O$1:O411),0)*$E412,0),"return_of_capital",IFERROR(LOOKUP(2,1/($B$1:B411=B412),$P$1:P411),0)-ABS($M412),"split",IFERROR(LOOKUP(2,1/($B$1:B411=B412),$P$1:P411),0),IFERROR(LOOKUP(2,1/($B$1:B411=B412),$P$1:P411),0)))</x:f>
      </x:c>
      <x:c r="Q412" t="str">
        <x:f>IFERROR($P412/$O412,"")</x:f>
      </x:c>
      <x:c r="R412" t="str">
        <x:f>IF(LOWER($D412)="sell",$M412-$N412-IFERROR(IFERROR(LOOKUP(2,1/($B$1:B411=B412),$P$1:P411),0)/IFERROR(LOOKUP(2,1/($B$1:B411=B412),$O$1:O411),0)*$E412,0),"")</x:f>
      </x:c>
      <x:c r="S412" t="str">
        <x:f>IF(COUNTA($A412:$D412)=0,"",IF($B412="","Missing symbol",IF($D412="","Missing action",IF(AND(LOWER($D412)="sell",$E412&gt;IFERROR(LOOKUP(2,1/($B$1:B411=B412),$O$1:O411),0)),"Sold more units than available","OK"))))</x:f>
      </x:c>
    </x:row>
    <x:row r="413">
      <x:c r="M413" t="str">
        <x:f>IF(COUNTA($A413:$D413)=0,"",IF($G413&lt;&gt;"",$G413,IF(AND($E413&lt;&gt;"",$F413&lt;&gt;""),$E413*$F413,""))*IF($J413&lt;&gt;"",$J413,1))</x:f>
      </x:c>
      <x:c r="N413" t="str">
        <x:f>IF(COUNTA($A413:$D413)=0,"",IF($H413&lt;&gt;"",$H413,0)*IF($J413&lt;&gt;"",$J413,1))</x:f>
      </x:c>
      <x:c r="O413" t="str">
        <x:f>IF(COUNTA($A413:$D413)=0,"",SWITCH(LOWER($D413),"buy",IFERROR(LOOKUP(2,1/($B$1:B412=B413),$O$1:O412),0)+$E413,"drip",IFERROR(LOOKUP(2,1/($B$1:B412=B413),$O$1:O412),0)+$E413,"sell",IFERROR(LOOKUP(2,1/($B$1:B412=B413),$O$1:O412),0)-$E413,"return_of_capital",IFERROR(LOOKUP(2,1/($B$1:B412=B413),$O$1:O412),0),"split",$E413,IFERROR(LOOKUP(2,1/($B$1:B412=B413),$O$1:O412),0)))</x:f>
      </x:c>
      <x:c r="P413" t="str">
        <x:f>IF(COUNTA($A413:$D413)=0,"",SWITCH(LOWER($D413),"buy",IFERROR(LOOKUP(2,1/($B$1:B412=B413),$P$1:P412),0)+$M413+$N413,"drip",IFERROR(LOOKUP(2,1/($B$1:B412=B413),$P$1:P412),0)+$M413+$N413,"sell",IFERROR(LOOKUP(2,1/($B$1:B412=B413),$P$1:P412),0)-IFERROR(IFERROR(LOOKUP(2,1/($B$1:B412=B413),$P$1:P412),0)/IFERROR(LOOKUP(2,1/($B$1:B412=B413),$O$1:O412),0)*$E413,0),"return_of_capital",IFERROR(LOOKUP(2,1/($B$1:B412=B413),$P$1:P412),0)-ABS($M413),"split",IFERROR(LOOKUP(2,1/($B$1:B412=B413),$P$1:P412),0),IFERROR(LOOKUP(2,1/($B$1:B412=B413),$P$1:P412),0)))</x:f>
      </x:c>
      <x:c r="Q413" t="str">
        <x:f>IFERROR($P413/$O413,"")</x:f>
      </x:c>
      <x:c r="R413" t="str">
        <x:f>IF(LOWER($D413)="sell",$M413-$N413-IFERROR(IFERROR(LOOKUP(2,1/($B$1:B412=B413),$P$1:P412),0)/IFERROR(LOOKUP(2,1/($B$1:B412=B413),$O$1:O412),0)*$E413,0),"")</x:f>
      </x:c>
      <x:c r="S413" t="str">
        <x:f>IF(COUNTA($A413:$D413)=0,"",IF($B413="","Missing symbol",IF($D413="","Missing action",IF(AND(LOWER($D413)="sell",$E413&gt;IFERROR(LOOKUP(2,1/($B$1:B412=B413),$O$1:O412),0)),"Sold more units than available","OK"))))</x:f>
      </x:c>
    </x:row>
    <x:row r="414">
      <x:c r="M414" t="str">
        <x:f>IF(COUNTA($A414:$D414)=0,"",IF($G414&lt;&gt;"",$G414,IF(AND($E414&lt;&gt;"",$F414&lt;&gt;""),$E414*$F414,""))*IF($J414&lt;&gt;"",$J414,1))</x:f>
      </x:c>
      <x:c r="N414" t="str">
        <x:f>IF(COUNTA($A414:$D414)=0,"",IF($H414&lt;&gt;"",$H414,0)*IF($J414&lt;&gt;"",$J414,1))</x:f>
      </x:c>
      <x:c r="O414" t="str">
        <x:f>IF(COUNTA($A414:$D414)=0,"",SWITCH(LOWER($D414),"buy",IFERROR(LOOKUP(2,1/($B$1:B413=B414),$O$1:O413),0)+$E414,"drip",IFERROR(LOOKUP(2,1/($B$1:B413=B414),$O$1:O413),0)+$E414,"sell",IFERROR(LOOKUP(2,1/($B$1:B413=B414),$O$1:O413),0)-$E414,"return_of_capital",IFERROR(LOOKUP(2,1/($B$1:B413=B414),$O$1:O413),0),"split",$E414,IFERROR(LOOKUP(2,1/($B$1:B413=B414),$O$1:O413),0)))</x:f>
      </x:c>
      <x:c r="P414" t="str">
        <x:f>IF(COUNTA($A414:$D414)=0,"",SWITCH(LOWER($D414),"buy",IFERROR(LOOKUP(2,1/($B$1:B413=B414),$P$1:P413),0)+$M414+$N414,"drip",IFERROR(LOOKUP(2,1/($B$1:B413=B414),$P$1:P413),0)+$M414+$N414,"sell",IFERROR(LOOKUP(2,1/($B$1:B413=B414),$P$1:P413),0)-IFERROR(IFERROR(LOOKUP(2,1/($B$1:B413=B414),$P$1:P413),0)/IFERROR(LOOKUP(2,1/($B$1:B413=B414),$O$1:O413),0)*$E414,0),"return_of_capital",IFERROR(LOOKUP(2,1/($B$1:B413=B414),$P$1:P413),0)-ABS($M414),"split",IFERROR(LOOKUP(2,1/($B$1:B413=B414),$P$1:P413),0),IFERROR(LOOKUP(2,1/($B$1:B413=B414),$P$1:P413),0)))</x:f>
      </x:c>
      <x:c r="Q414" t="str">
        <x:f>IFERROR($P414/$O414,"")</x:f>
      </x:c>
      <x:c r="R414" t="str">
        <x:f>IF(LOWER($D414)="sell",$M414-$N414-IFERROR(IFERROR(LOOKUP(2,1/($B$1:B413=B414),$P$1:P413),0)/IFERROR(LOOKUP(2,1/($B$1:B413=B414),$O$1:O413),0)*$E414,0),"")</x:f>
      </x:c>
      <x:c r="S414" t="str">
        <x:f>IF(COUNTA($A414:$D414)=0,"",IF($B414="","Missing symbol",IF($D414="","Missing action",IF(AND(LOWER($D414)="sell",$E414&gt;IFERROR(LOOKUP(2,1/($B$1:B413=B414),$O$1:O413),0)),"Sold more units than available","OK"))))</x:f>
      </x:c>
    </x:row>
    <x:row r="415">
      <x:c r="M415" t="str">
        <x:f>IF(COUNTA($A415:$D415)=0,"",IF($G415&lt;&gt;"",$G415,IF(AND($E415&lt;&gt;"",$F415&lt;&gt;""),$E415*$F415,""))*IF($J415&lt;&gt;"",$J415,1))</x:f>
      </x:c>
      <x:c r="N415" t="str">
        <x:f>IF(COUNTA($A415:$D415)=0,"",IF($H415&lt;&gt;"",$H415,0)*IF($J415&lt;&gt;"",$J415,1))</x:f>
      </x:c>
      <x:c r="O415" t="str">
        <x:f>IF(COUNTA($A415:$D415)=0,"",SWITCH(LOWER($D415),"buy",IFERROR(LOOKUP(2,1/($B$1:B414=B415),$O$1:O414),0)+$E415,"drip",IFERROR(LOOKUP(2,1/($B$1:B414=B415),$O$1:O414),0)+$E415,"sell",IFERROR(LOOKUP(2,1/($B$1:B414=B415),$O$1:O414),0)-$E415,"return_of_capital",IFERROR(LOOKUP(2,1/($B$1:B414=B415),$O$1:O414),0),"split",$E415,IFERROR(LOOKUP(2,1/($B$1:B414=B415),$O$1:O414),0)))</x:f>
      </x:c>
      <x:c r="P415" t="str">
        <x:f>IF(COUNTA($A415:$D415)=0,"",SWITCH(LOWER($D415),"buy",IFERROR(LOOKUP(2,1/($B$1:B414=B415),$P$1:P414),0)+$M415+$N415,"drip",IFERROR(LOOKUP(2,1/($B$1:B414=B415),$P$1:P414),0)+$M415+$N415,"sell",IFERROR(LOOKUP(2,1/($B$1:B414=B415),$P$1:P414),0)-IFERROR(IFERROR(LOOKUP(2,1/($B$1:B414=B415),$P$1:P414),0)/IFERROR(LOOKUP(2,1/($B$1:B414=B415),$O$1:O414),0)*$E415,0),"return_of_capital",IFERROR(LOOKUP(2,1/($B$1:B414=B415),$P$1:P414),0)-ABS($M415),"split",IFERROR(LOOKUP(2,1/($B$1:B414=B415),$P$1:P414),0),IFERROR(LOOKUP(2,1/($B$1:B414=B415),$P$1:P414),0)))</x:f>
      </x:c>
      <x:c r="Q415" t="str">
        <x:f>IFERROR($P415/$O415,"")</x:f>
      </x:c>
      <x:c r="R415" t="str">
        <x:f>IF(LOWER($D415)="sell",$M415-$N415-IFERROR(IFERROR(LOOKUP(2,1/($B$1:B414=B415),$P$1:P414),0)/IFERROR(LOOKUP(2,1/($B$1:B414=B415),$O$1:O414),0)*$E415,0),"")</x:f>
      </x:c>
      <x:c r="S415" t="str">
        <x:f>IF(COUNTA($A415:$D415)=0,"",IF($B415="","Missing symbol",IF($D415="","Missing action",IF(AND(LOWER($D415)="sell",$E415&gt;IFERROR(LOOKUP(2,1/($B$1:B414=B415),$O$1:O414),0)),"Sold more units than available","OK"))))</x:f>
      </x:c>
    </x:row>
    <x:row r="416">
      <x:c r="M416" t="str">
        <x:f>IF(COUNTA($A416:$D416)=0,"",IF($G416&lt;&gt;"",$G416,IF(AND($E416&lt;&gt;"",$F416&lt;&gt;""),$E416*$F416,""))*IF($J416&lt;&gt;"",$J416,1))</x:f>
      </x:c>
      <x:c r="N416" t="str">
        <x:f>IF(COUNTA($A416:$D416)=0,"",IF($H416&lt;&gt;"",$H416,0)*IF($J416&lt;&gt;"",$J416,1))</x:f>
      </x:c>
      <x:c r="O416" t="str">
        <x:f>IF(COUNTA($A416:$D416)=0,"",SWITCH(LOWER($D416),"buy",IFERROR(LOOKUP(2,1/($B$1:B415=B416),$O$1:O415),0)+$E416,"drip",IFERROR(LOOKUP(2,1/($B$1:B415=B416),$O$1:O415),0)+$E416,"sell",IFERROR(LOOKUP(2,1/($B$1:B415=B416),$O$1:O415),0)-$E416,"return_of_capital",IFERROR(LOOKUP(2,1/($B$1:B415=B416),$O$1:O415),0),"split",$E416,IFERROR(LOOKUP(2,1/($B$1:B415=B416),$O$1:O415),0)))</x:f>
      </x:c>
      <x:c r="P416" t="str">
        <x:f>IF(COUNTA($A416:$D416)=0,"",SWITCH(LOWER($D416),"buy",IFERROR(LOOKUP(2,1/($B$1:B415=B416),$P$1:P415),0)+$M416+$N416,"drip",IFERROR(LOOKUP(2,1/($B$1:B415=B416),$P$1:P415),0)+$M416+$N416,"sell",IFERROR(LOOKUP(2,1/($B$1:B415=B416),$P$1:P415),0)-IFERROR(IFERROR(LOOKUP(2,1/($B$1:B415=B416),$P$1:P415),0)/IFERROR(LOOKUP(2,1/($B$1:B415=B416),$O$1:O415),0)*$E416,0),"return_of_capital",IFERROR(LOOKUP(2,1/($B$1:B415=B416),$P$1:P415),0)-ABS($M416),"split",IFERROR(LOOKUP(2,1/($B$1:B415=B416),$P$1:P415),0),IFERROR(LOOKUP(2,1/($B$1:B415=B416),$P$1:P415),0)))</x:f>
      </x:c>
      <x:c r="Q416" t="str">
        <x:f>IFERROR($P416/$O416,"")</x:f>
      </x:c>
      <x:c r="R416" t="str">
        <x:f>IF(LOWER($D416)="sell",$M416-$N416-IFERROR(IFERROR(LOOKUP(2,1/($B$1:B415=B416),$P$1:P415),0)/IFERROR(LOOKUP(2,1/($B$1:B415=B416),$O$1:O415),0)*$E416,0),"")</x:f>
      </x:c>
      <x:c r="S416" t="str">
        <x:f>IF(COUNTA($A416:$D416)=0,"",IF($B416="","Missing symbol",IF($D416="","Missing action",IF(AND(LOWER($D416)="sell",$E416&gt;IFERROR(LOOKUP(2,1/($B$1:B415=B416),$O$1:O415),0)),"Sold more units than available","OK"))))</x:f>
      </x:c>
    </x:row>
    <x:row r="417">
      <x:c r="M417" t="str">
        <x:f>IF(COUNTA($A417:$D417)=0,"",IF($G417&lt;&gt;"",$G417,IF(AND($E417&lt;&gt;"",$F417&lt;&gt;""),$E417*$F417,""))*IF($J417&lt;&gt;"",$J417,1))</x:f>
      </x:c>
      <x:c r="N417" t="str">
        <x:f>IF(COUNTA($A417:$D417)=0,"",IF($H417&lt;&gt;"",$H417,0)*IF($J417&lt;&gt;"",$J417,1))</x:f>
      </x:c>
      <x:c r="O417" t="str">
        <x:f>IF(COUNTA($A417:$D417)=0,"",SWITCH(LOWER($D417),"buy",IFERROR(LOOKUP(2,1/($B$1:B416=B417),$O$1:O416),0)+$E417,"drip",IFERROR(LOOKUP(2,1/($B$1:B416=B417),$O$1:O416),0)+$E417,"sell",IFERROR(LOOKUP(2,1/($B$1:B416=B417),$O$1:O416),0)-$E417,"return_of_capital",IFERROR(LOOKUP(2,1/($B$1:B416=B417),$O$1:O416),0),"split",$E417,IFERROR(LOOKUP(2,1/($B$1:B416=B417),$O$1:O416),0)))</x:f>
      </x:c>
      <x:c r="P417" t="str">
        <x:f>IF(COUNTA($A417:$D417)=0,"",SWITCH(LOWER($D417),"buy",IFERROR(LOOKUP(2,1/($B$1:B416=B417),$P$1:P416),0)+$M417+$N417,"drip",IFERROR(LOOKUP(2,1/($B$1:B416=B417),$P$1:P416),0)+$M417+$N417,"sell",IFERROR(LOOKUP(2,1/($B$1:B416=B417),$P$1:P416),0)-IFERROR(IFERROR(LOOKUP(2,1/($B$1:B416=B417),$P$1:P416),0)/IFERROR(LOOKUP(2,1/($B$1:B416=B417),$O$1:O416),0)*$E417,0),"return_of_capital",IFERROR(LOOKUP(2,1/($B$1:B416=B417),$P$1:P416),0)-ABS($M417),"split",IFERROR(LOOKUP(2,1/($B$1:B416=B417),$P$1:P416),0),IFERROR(LOOKUP(2,1/($B$1:B416=B417),$P$1:P416),0)))</x:f>
      </x:c>
      <x:c r="Q417" t="str">
        <x:f>IFERROR($P417/$O417,"")</x:f>
      </x:c>
      <x:c r="R417" t="str">
        <x:f>IF(LOWER($D417)="sell",$M417-$N417-IFERROR(IFERROR(LOOKUP(2,1/($B$1:B416=B417),$P$1:P416),0)/IFERROR(LOOKUP(2,1/($B$1:B416=B417),$O$1:O416),0)*$E417,0),"")</x:f>
      </x:c>
      <x:c r="S417" t="str">
        <x:f>IF(COUNTA($A417:$D417)=0,"",IF($B417="","Missing symbol",IF($D417="","Missing action",IF(AND(LOWER($D417)="sell",$E417&gt;IFERROR(LOOKUP(2,1/($B$1:B416=B417),$O$1:O416),0)),"Sold more units than available","OK"))))</x:f>
      </x:c>
    </x:row>
    <x:row r="418">
      <x:c r="M418" t="str">
        <x:f>IF(COUNTA($A418:$D418)=0,"",IF($G418&lt;&gt;"",$G418,IF(AND($E418&lt;&gt;"",$F418&lt;&gt;""),$E418*$F418,""))*IF($J418&lt;&gt;"",$J418,1))</x:f>
      </x:c>
      <x:c r="N418" t="str">
        <x:f>IF(COUNTA($A418:$D418)=0,"",IF($H418&lt;&gt;"",$H418,0)*IF($J418&lt;&gt;"",$J418,1))</x:f>
      </x:c>
      <x:c r="O418" t="str">
        <x:f>IF(COUNTA($A418:$D418)=0,"",SWITCH(LOWER($D418),"buy",IFERROR(LOOKUP(2,1/($B$1:B417=B418),$O$1:O417),0)+$E418,"drip",IFERROR(LOOKUP(2,1/($B$1:B417=B418),$O$1:O417),0)+$E418,"sell",IFERROR(LOOKUP(2,1/($B$1:B417=B418),$O$1:O417),0)-$E418,"return_of_capital",IFERROR(LOOKUP(2,1/($B$1:B417=B418),$O$1:O417),0),"split",$E418,IFERROR(LOOKUP(2,1/($B$1:B417=B418),$O$1:O417),0)))</x:f>
      </x:c>
      <x:c r="P418" t="str">
        <x:f>IF(COUNTA($A418:$D418)=0,"",SWITCH(LOWER($D418),"buy",IFERROR(LOOKUP(2,1/($B$1:B417=B418),$P$1:P417),0)+$M418+$N418,"drip",IFERROR(LOOKUP(2,1/($B$1:B417=B418),$P$1:P417),0)+$M418+$N418,"sell",IFERROR(LOOKUP(2,1/($B$1:B417=B418),$P$1:P417),0)-IFERROR(IFERROR(LOOKUP(2,1/($B$1:B417=B418),$P$1:P417),0)/IFERROR(LOOKUP(2,1/($B$1:B417=B418),$O$1:O417),0)*$E418,0),"return_of_capital",IFERROR(LOOKUP(2,1/($B$1:B417=B418),$P$1:P417),0)-ABS($M418),"split",IFERROR(LOOKUP(2,1/($B$1:B417=B418),$P$1:P417),0),IFERROR(LOOKUP(2,1/($B$1:B417=B418),$P$1:P417),0)))</x:f>
      </x:c>
      <x:c r="Q418" t="str">
        <x:f>IFERROR($P418/$O418,"")</x:f>
      </x:c>
      <x:c r="R418" t="str">
        <x:f>IF(LOWER($D418)="sell",$M418-$N418-IFERROR(IFERROR(LOOKUP(2,1/($B$1:B417=B418),$P$1:P417),0)/IFERROR(LOOKUP(2,1/($B$1:B417=B418),$O$1:O417),0)*$E418,0),"")</x:f>
      </x:c>
      <x:c r="S418" t="str">
        <x:f>IF(COUNTA($A418:$D418)=0,"",IF($B418="","Missing symbol",IF($D418="","Missing action",IF(AND(LOWER($D418)="sell",$E418&gt;IFERROR(LOOKUP(2,1/($B$1:B417=B418),$O$1:O417),0)),"Sold more units than available","OK"))))</x:f>
      </x:c>
    </x:row>
    <x:row r="419">
      <x:c r="M419" t="str">
        <x:f>IF(COUNTA($A419:$D419)=0,"",IF($G419&lt;&gt;"",$G419,IF(AND($E419&lt;&gt;"",$F419&lt;&gt;""),$E419*$F419,""))*IF($J419&lt;&gt;"",$J419,1))</x:f>
      </x:c>
      <x:c r="N419" t="str">
        <x:f>IF(COUNTA($A419:$D419)=0,"",IF($H419&lt;&gt;"",$H419,0)*IF($J419&lt;&gt;"",$J419,1))</x:f>
      </x:c>
      <x:c r="O419" t="str">
        <x:f>IF(COUNTA($A419:$D419)=0,"",SWITCH(LOWER($D419),"buy",IFERROR(LOOKUP(2,1/($B$1:B418=B419),$O$1:O418),0)+$E419,"drip",IFERROR(LOOKUP(2,1/($B$1:B418=B419),$O$1:O418),0)+$E419,"sell",IFERROR(LOOKUP(2,1/($B$1:B418=B419),$O$1:O418),0)-$E419,"return_of_capital",IFERROR(LOOKUP(2,1/($B$1:B418=B419),$O$1:O418),0),"split",$E419,IFERROR(LOOKUP(2,1/($B$1:B418=B419),$O$1:O418),0)))</x:f>
      </x:c>
      <x:c r="P419" t="str">
        <x:f>IF(COUNTA($A419:$D419)=0,"",SWITCH(LOWER($D419),"buy",IFERROR(LOOKUP(2,1/($B$1:B418=B419),$P$1:P418),0)+$M419+$N419,"drip",IFERROR(LOOKUP(2,1/($B$1:B418=B419),$P$1:P418),0)+$M419+$N419,"sell",IFERROR(LOOKUP(2,1/($B$1:B418=B419),$P$1:P418),0)-IFERROR(IFERROR(LOOKUP(2,1/($B$1:B418=B419),$P$1:P418),0)/IFERROR(LOOKUP(2,1/($B$1:B418=B419),$O$1:O418),0)*$E419,0),"return_of_capital",IFERROR(LOOKUP(2,1/($B$1:B418=B419),$P$1:P418),0)-ABS($M419),"split",IFERROR(LOOKUP(2,1/($B$1:B418=B419),$P$1:P418),0),IFERROR(LOOKUP(2,1/($B$1:B418=B419),$P$1:P418),0)))</x:f>
      </x:c>
      <x:c r="Q419" t="str">
        <x:f>IFERROR($P419/$O419,"")</x:f>
      </x:c>
      <x:c r="R419" t="str">
        <x:f>IF(LOWER($D419)="sell",$M419-$N419-IFERROR(IFERROR(LOOKUP(2,1/($B$1:B418=B419),$P$1:P418),0)/IFERROR(LOOKUP(2,1/($B$1:B418=B419),$O$1:O418),0)*$E419,0),"")</x:f>
      </x:c>
      <x:c r="S419" t="str">
        <x:f>IF(COUNTA($A419:$D419)=0,"",IF($B419="","Missing symbol",IF($D419="","Missing action",IF(AND(LOWER($D419)="sell",$E419&gt;IFERROR(LOOKUP(2,1/($B$1:B418=B419),$O$1:O418),0)),"Sold more units than available","OK"))))</x:f>
      </x:c>
    </x:row>
    <x:row r="420">
      <x:c r="M420" t="str">
        <x:f>IF(COUNTA($A420:$D420)=0,"",IF($G420&lt;&gt;"",$G420,IF(AND($E420&lt;&gt;"",$F420&lt;&gt;""),$E420*$F420,""))*IF($J420&lt;&gt;"",$J420,1))</x:f>
      </x:c>
      <x:c r="N420" t="str">
        <x:f>IF(COUNTA($A420:$D420)=0,"",IF($H420&lt;&gt;"",$H420,0)*IF($J420&lt;&gt;"",$J420,1))</x:f>
      </x:c>
      <x:c r="O420" t="str">
        <x:f>IF(COUNTA($A420:$D420)=0,"",SWITCH(LOWER($D420),"buy",IFERROR(LOOKUP(2,1/($B$1:B419=B420),$O$1:O419),0)+$E420,"drip",IFERROR(LOOKUP(2,1/($B$1:B419=B420),$O$1:O419),0)+$E420,"sell",IFERROR(LOOKUP(2,1/($B$1:B419=B420),$O$1:O419),0)-$E420,"return_of_capital",IFERROR(LOOKUP(2,1/($B$1:B419=B420),$O$1:O419),0),"split",$E420,IFERROR(LOOKUP(2,1/($B$1:B419=B420),$O$1:O419),0)))</x:f>
      </x:c>
      <x:c r="P420" t="str">
        <x:f>IF(COUNTA($A420:$D420)=0,"",SWITCH(LOWER($D420),"buy",IFERROR(LOOKUP(2,1/($B$1:B419=B420),$P$1:P419),0)+$M420+$N420,"drip",IFERROR(LOOKUP(2,1/($B$1:B419=B420),$P$1:P419),0)+$M420+$N420,"sell",IFERROR(LOOKUP(2,1/($B$1:B419=B420),$P$1:P419),0)-IFERROR(IFERROR(LOOKUP(2,1/($B$1:B419=B420),$P$1:P419),0)/IFERROR(LOOKUP(2,1/($B$1:B419=B420),$O$1:O419),0)*$E420,0),"return_of_capital",IFERROR(LOOKUP(2,1/($B$1:B419=B420),$P$1:P419),0)-ABS($M420),"split",IFERROR(LOOKUP(2,1/($B$1:B419=B420),$P$1:P419),0),IFERROR(LOOKUP(2,1/($B$1:B419=B420),$P$1:P419),0)))</x:f>
      </x:c>
      <x:c r="Q420" t="str">
        <x:f>IFERROR($P420/$O420,"")</x:f>
      </x:c>
      <x:c r="R420" t="str">
        <x:f>IF(LOWER($D420)="sell",$M420-$N420-IFERROR(IFERROR(LOOKUP(2,1/($B$1:B419=B420),$P$1:P419),0)/IFERROR(LOOKUP(2,1/($B$1:B419=B420),$O$1:O419),0)*$E420,0),"")</x:f>
      </x:c>
      <x:c r="S420" t="str">
        <x:f>IF(COUNTA($A420:$D420)=0,"",IF($B420="","Missing symbol",IF($D420="","Missing action",IF(AND(LOWER($D420)="sell",$E420&gt;IFERROR(LOOKUP(2,1/($B$1:B419=B420),$O$1:O419),0)),"Sold more units than available","OK"))))</x:f>
      </x:c>
    </x:row>
    <x:row r="421">
      <x:c r="M421" t="str">
        <x:f>IF(COUNTA($A421:$D421)=0,"",IF($G421&lt;&gt;"",$G421,IF(AND($E421&lt;&gt;"",$F421&lt;&gt;""),$E421*$F421,""))*IF($J421&lt;&gt;"",$J421,1))</x:f>
      </x:c>
      <x:c r="N421" t="str">
        <x:f>IF(COUNTA($A421:$D421)=0,"",IF($H421&lt;&gt;"",$H421,0)*IF($J421&lt;&gt;"",$J421,1))</x:f>
      </x:c>
      <x:c r="O421" t="str">
        <x:f>IF(COUNTA($A421:$D421)=0,"",SWITCH(LOWER($D421),"buy",IFERROR(LOOKUP(2,1/($B$1:B420=B421),$O$1:O420),0)+$E421,"drip",IFERROR(LOOKUP(2,1/($B$1:B420=B421),$O$1:O420),0)+$E421,"sell",IFERROR(LOOKUP(2,1/($B$1:B420=B421),$O$1:O420),0)-$E421,"return_of_capital",IFERROR(LOOKUP(2,1/($B$1:B420=B421),$O$1:O420),0),"split",$E421,IFERROR(LOOKUP(2,1/($B$1:B420=B421),$O$1:O420),0)))</x:f>
      </x:c>
      <x:c r="P421" t="str">
        <x:f>IF(COUNTA($A421:$D421)=0,"",SWITCH(LOWER($D421),"buy",IFERROR(LOOKUP(2,1/($B$1:B420=B421),$P$1:P420),0)+$M421+$N421,"drip",IFERROR(LOOKUP(2,1/($B$1:B420=B421),$P$1:P420),0)+$M421+$N421,"sell",IFERROR(LOOKUP(2,1/($B$1:B420=B421),$P$1:P420),0)-IFERROR(IFERROR(LOOKUP(2,1/($B$1:B420=B421),$P$1:P420),0)/IFERROR(LOOKUP(2,1/($B$1:B420=B421),$O$1:O420),0)*$E421,0),"return_of_capital",IFERROR(LOOKUP(2,1/($B$1:B420=B421),$P$1:P420),0)-ABS($M421),"split",IFERROR(LOOKUP(2,1/($B$1:B420=B421),$P$1:P420),0),IFERROR(LOOKUP(2,1/($B$1:B420=B421),$P$1:P420),0)))</x:f>
      </x:c>
      <x:c r="Q421" t="str">
        <x:f>IFERROR($P421/$O421,"")</x:f>
      </x:c>
      <x:c r="R421" t="str">
        <x:f>IF(LOWER($D421)="sell",$M421-$N421-IFERROR(IFERROR(LOOKUP(2,1/($B$1:B420=B421),$P$1:P420),0)/IFERROR(LOOKUP(2,1/($B$1:B420=B421),$O$1:O420),0)*$E421,0),"")</x:f>
      </x:c>
      <x:c r="S421" t="str">
        <x:f>IF(COUNTA($A421:$D421)=0,"",IF($B421="","Missing symbol",IF($D421="","Missing action",IF(AND(LOWER($D421)="sell",$E421&gt;IFERROR(LOOKUP(2,1/($B$1:B420=B421),$O$1:O420),0)),"Sold more units than available","OK"))))</x:f>
      </x:c>
    </x:row>
    <x:row r="422">
      <x:c r="M422" t="str">
        <x:f>IF(COUNTA($A422:$D422)=0,"",IF($G422&lt;&gt;"",$G422,IF(AND($E422&lt;&gt;"",$F422&lt;&gt;""),$E422*$F422,""))*IF($J422&lt;&gt;"",$J422,1))</x:f>
      </x:c>
      <x:c r="N422" t="str">
        <x:f>IF(COUNTA($A422:$D422)=0,"",IF($H422&lt;&gt;"",$H422,0)*IF($J422&lt;&gt;"",$J422,1))</x:f>
      </x:c>
      <x:c r="O422" t="str">
        <x:f>IF(COUNTA($A422:$D422)=0,"",SWITCH(LOWER($D422),"buy",IFERROR(LOOKUP(2,1/($B$1:B421=B422),$O$1:O421),0)+$E422,"drip",IFERROR(LOOKUP(2,1/($B$1:B421=B422),$O$1:O421),0)+$E422,"sell",IFERROR(LOOKUP(2,1/($B$1:B421=B422),$O$1:O421),0)-$E422,"return_of_capital",IFERROR(LOOKUP(2,1/($B$1:B421=B422),$O$1:O421),0),"split",$E422,IFERROR(LOOKUP(2,1/($B$1:B421=B422),$O$1:O421),0)))</x:f>
      </x:c>
      <x:c r="P422" t="str">
        <x:f>IF(COUNTA($A422:$D422)=0,"",SWITCH(LOWER($D422),"buy",IFERROR(LOOKUP(2,1/($B$1:B421=B422),$P$1:P421),0)+$M422+$N422,"drip",IFERROR(LOOKUP(2,1/($B$1:B421=B422),$P$1:P421),0)+$M422+$N422,"sell",IFERROR(LOOKUP(2,1/($B$1:B421=B422),$P$1:P421),0)-IFERROR(IFERROR(LOOKUP(2,1/($B$1:B421=B422),$P$1:P421),0)/IFERROR(LOOKUP(2,1/($B$1:B421=B422),$O$1:O421),0)*$E422,0),"return_of_capital",IFERROR(LOOKUP(2,1/($B$1:B421=B422),$P$1:P421),0)-ABS($M422),"split",IFERROR(LOOKUP(2,1/($B$1:B421=B422),$P$1:P421),0),IFERROR(LOOKUP(2,1/($B$1:B421=B422),$P$1:P421),0)))</x:f>
      </x:c>
      <x:c r="Q422" t="str">
        <x:f>IFERROR($P422/$O422,"")</x:f>
      </x:c>
      <x:c r="R422" t="str">
        <x:f>IF(LOWER($D422)="sell",$M422-$N422-IFERROR(IFERROR(LOOKUP(2,1/($B$1:B421=B422),$P$1:P421),0)/IFERROR(LOOKUP(2,1/($B$1:B421=B422),$O$1:O421),0)*$E422,0),"")</x:f>
      </x:c>
      <x:c r="S422" t="str">
        <x:f>IF(COUNTA($A422:$D422)=0,"",IF($B422="","Missing symbol",IF($D422="","Missing action",IF(AND(LOWER($D422)="sell",$E422&gt;IFERROR(LOOKUP(2,1/($B$1:B421=B422),$O$1:O421),0)),"Sold more units than available","OK"))))</x:f>
      </x:c>
    </x:row>
    <x:row r="423">
      <x:c r="M423" t="str">
        <x:f>IF(COUNTA($A423:$D423)=0,"",IF($G423&lt;&gt;"",$G423,IF(AND($E423&lt;&gt;"",$F423&lt;&gt;""),$E423*$F423,""))*IF($J423&lt;&gt;"",$J423,1))</x:f>
      </x:c>
      <x:c r="N423" t="str">
        <x:f>IF(COUNTA($A423:$D423)=0,"",IF($H423&lt;&gt;"",$H423,0)*IF($J423&lt;&gt;"",$J423,1))</x:f>
      </x:c>
      <x:c r="O423" t="str">
        <x:f>IF(COUNTA($A423:$D423)=0,"",SWITCH(LOWER($D423),"buy",IFERROR(LOOKUP(2,1/($B$1:B422=B423),$O$1:O422),0)+$E423,"drip",IFERROR(LOOKUP(2,1/($B$1:B422=B423),$O$1:O422),0)+$E423,"sell",IFERROR(LOOKUP(2,1/($B$1:B422=B423),$O$1:O422),0)-$E423,"return_of_capital",IFERROR(LOOKUP(2,1/($B$1:B422=B423),$O$1:O422),0),"split",$E423,IFERROR(LOOKUP(2,1/($B$1:B422=B423),$O$1:O422),0)))</x:f>
      </x:c>
      <x:c r="P423" t="str">
        <x:f>IF(COUNTA($A423:$D423)=0,"",SWITCH(LOWER($D423),"buy",IFERROR(LOOKUP(2,1/($B$1:B422=B423),$P$1:P422),0)+$M423+$N423,"drip",IFERROR(LOOKUP(2,1/($B$1:B422=B423),$P$1:P422),0)+$M423+$N423,"sell",IFERROR(LOOKUP(2,1/($B$1:B422=B423),$P$1:P422),0)-IFERROR(IFERROR(LOOKUP(2,1/($B$1:B422=B423),$P$1:P422),0)/IFERROR(LOOKUP(2,1/($B$1:B422=B423),$O$1:O422),0)*$E423,0),"return_of_capital",IFERROR(LOOKUP(2,1/($B$1:B422=B423),$P$1:P422),0)-ABS($M423),"split",IFERROR(LOOKUP(2,1/($B$1:B422=B423),$P$1:P422),0),IFERROR(LOOKUP(2,1/($B$1:B422=B423),$P$1:P422),0)))</x:f>
      </x:c>
      <x:c r="Q423" t="str">
        <x:f>IFERROR($P423/$O423,"")</x:f>
      </x:c>
      <x:c r="R423" t="str">
        <x:f>IF(LOWER($D423)="sell",$M423-$N423-IFERROR(IFERROR(LOOKUP(2,1/($B$1:B422=B423),$P$1:P422),0)/IFERROR(LOOKUP(2,1/($B$1:B422=B423),$O$1:O422),0)*$E423,0),"")</x:f>
      </x:c>
      <x:c r="S423" t="str">
        <x:f>IF(COUNTA($A423:$D423)=0,"",IF($B423="","Missing symbol",IF($D423="","Missing action",IF(AND(LOWER($D423)="sell",$E423&gt;IFERROR(LOOKUP(2,1/($B$1:B422=B423),$O$1:O422),0)),"Sold more units than available","OK"))))</x:f>
      </x:c>
    </x:row>
    <x:row r="424">
      <x:c r="M424" t="str">
        <x:f>IF(COUNTA($A424:$D424)=0,"",IF($G424&lt;&gt;"",$G424,IF(AND($E424&lt;&gt;"",$F424&lt;&gt;""),$E424*$F424,""))*IF($J424&lt;&gt;"",$J424,1))</x:f>
      </x:c>
      <x:c r="N424" t="str">
        <x:f>IF(COUNTA($A424:$D424)=0,"",IF($H424&lt;&gt;"",$H424,0)*IF($J424&lt;&gt;"",$J424,1))</x:f>
      </x:c>
      <x:c r="O424" t="str">
        <x:f>IF(COUNTA($A424:$D424)=0,"",SWITCH(LOWER($D424),"buy",IFERROR(LOOKUP(2,1/($B$1:B423=B424),$O$1:O423),0)+$E424,"drip",IFERROR(LOOKUP(2,1/($B$1:B423=B424),$O$1:O423),0)+$E424,"sell",IFERROR(LOOKUP(2,1/($B$1:B423=B424),$O$1:O423),0)-$E424,"return_of_capital",IFERROR(LOOKUP(2,1/($B$1:B423=B424),$O$1:O423),0),"split",$E424,IFERROR(LOOKUP(2,1/($B$1:B423=B424),$O$1:O423),0)))</x:f>
      </x:c>
      <x:c r="P424" t="str">
        <x:f>IF(COUNTA($A424:$D424)=0,"",SWITCH(LOWER($D424),"buy",IFERROR(LOOKUP(2,1/($B$1:B423=B424),$P$1:P423),0)+$M424+$N424,"drip",IFERROR(LOOKUP(2,1/($B$1:B423=B424),$P$1:P423),0)+$M424+$N424,"sell",IFERROR(LOOKUP(2,1/($B$1:B423=B424),$P$1:P423),0)-IFERROR(IFERROR(LOOKUP(2,1/($B$1:B423=B424),$P$1:P423),0)/IFERROR(LOOKUP(2,1/($B$1:B423=B424),$O$1:O423),0)*$E424,0),"return_of_capital",IFERROR(LOOKUP(2,1/($B$1:B423=B424),$P$1:P423),0)-ABS($M424),"split",IFERROR(LOOKUP(2,1/($B$1:B423=B424),$P$1:P423),0),IFERROR(LOOKUP(2,1/($B$1:B423=B424),$P$1:P423),0)))</x:f>
      </x:c>
      <x:c r="Q424" t="str">
        <x:f>IFERROR($P424/$O424,"")</x:f>
      </x:c>
      <x:c r="R424" t="str">
        <x:f>IF(LOWER($D424)="sell",$M424-$N424-IFERROR(IFERROR(LOOKUP(2,1/($B$1:B423=B424),$P$1:P423),0)/IFERROR(LOOKUP(2,1/($B$1:B423=B424),$O$1:O423),0)*$E424,0),"")</x:f>
      </x:c>
      <x:c r="S424" t="str">
        <x:f>IF(COUNTA($A424:$D424)=0,"",IF($B424="","Missing symbol",IF($D424="","Missing action",IF(AND(LOWER($D424)="sell",$E424&gt;IFERROR(LOOKUP(2,1/($B$1:B423=B424),$O$1:O423),0)),"Sold more units than available","OK"))))</x:f>
      </x:c>
    </x:row>
    <x:row r="425">
      <x:c r="M425" t="str">
        <x:f>IF(COUNTA($A425:$D425)=0,"",IF($G425&lt;&gt;"",$G425,IF(AND($E425&lt;&gt;"",$F425&lt;&gt;""),$E425*$F425,""))*IF($J425&lt;&gt;"",$J425,1))</x:f>
      </x:c>
      <x:c r="N425" t="str">
        <x:f>IF(COUNTA($A425:$D425)=0,"",IF($H425&lt;&gt;"",$H425,0)*IF($J425&lt;&gt;"",$J425,1))</x:f>
      </x:c>
      <x:c r="O425" t="str">
        <x:f>IF(COUNTA($A425:$D425)=0,"",SWITCH(LOWER($D425),"buy",IFERROR(LOOKUP(2,1/($B$1:B424=B425),$O$1:O424),0)+$E425,"drip",IFERROR(LOOKUP(2,1/($B$1:B424=B425),$O$1:O424),0)+$E425,"sell",IFERROR(LOOKUP(2,1/($B$1:B424=B425),$O$1:O424),0)-$E425,"return_of_capital",IFERROR(LOOKUP(2,1/($B$1:B424=B425),$O$1:O424),0),"split",$E425,IFERROR(LOOKUP(2,1/($B$1:B424=B425),$O$1:O424),0)))</x:f>
      </x:c>
      <x:c r="P425" t="str">
        <x:f>IF(COUNTA($A425:$D425)=0,"",SWITCH(LOWER($D425),"buy",IFERROR(LOOKUP(2,1/($B$1:B424=B425),$P$1:P424),0)+$M425+$N425,"drip",IFERROR(LOOKUP(2,1/($B$1:B424=B425),$P$1:P424),0)+$M425+$N425,"sell",IFERROR(LOOKUP(2,1/($B$1:B424=B425),$P$1:P424),0)-IFERROR(IFERROR(LOOKUP(2,1/($B$1:B424=B425),$P$1:P424),0)/IFERROR(LOOKUP(2,1/($B$1:B424=B425),$O$1:O424),0)*$E425,0),"return_of_capital",IFERROR(LOOKUP(2,1/($B$1:B424=B425),$P$1:P424),0)-ABS($M425),"split",IFERROR(LOOKUP(2,1/($B$1:B424=B425),$P$1:P424),0),IFERROR(LOOKUP(2,1/($B$1:B424=B425),$P$1:P424),0)))</x:f>
      </x:c>
      <x:c r="Q425" t="str">
        <x:f>IFERROR($P425/$O425,"")</x:f>
      </x:c>
      <x:c r="R425" t="str">
        <x:f>IF(LOWER($D425)="sell",$M425-$N425-IFERROR(IFERROR(LOOKUP(2,1/($B$1:B424=B425),$P$1:P424),0)/IFERROR(LOOKUP(2,1/($B$1:B424=B425),$O$1:O424),0)*$E425,0),"")</x:f>
      </x:c>
      <x:c r="S425" t="str">
        <x:f>IF(COUNTA($A425:$D425)=0,"",IF($B425="","Missing symbol",IF($D425="","Missing action",IF(AND(LOWER($D425)="sell",$E425&gt;IFERROR(LOOKUP(2,1/($B$1:B424=B425),$O$1:O424),0)),"Sold more units than available","OK"))))</x:f>
      </x:c>
    </x:row>
    <x:row r="426">
      <x:c r="M426" t="str">
        <x:f>IF(COUNTA($A426:$D426)=0,"",IF($G426&lt;&gt;"",$G426,IF(AND($E426&lt;&gt;"",$F426&lt;&gt;""),$E426*$F426,""))*IF($J426&lt;&gt;"",$J426,1))</x:f>
      </x:c>
      <x:c r="N426" t="str">
        <x:f>IF(COUNTA($A426:$D426)=0,"",IF($H426&lt;&gt;"",$H426,0)*IF($J426&lt;&gt;"",$J426,1))</x:f>
      </x:c>
      <x:c r="O426" t="str">
        <x:f>IF(COUNTA($A426:$D426)=0,"",SWITCH(LOWER($D426),"buy",IFERROR(LOOKUP(2,1/($B$1:B425=B426),$O$1:O425),0)+$E426,"drip",IFERROR(LOOKUP(2,1/($B$1:B425=B426),$O$1:O425),0)+$E426,"sell",IFERROR(LOOKUP(2,1/($B$1:B425=B426),$O$1:O425),0)-$E426,"return_of_capital",IFERROR(LOOKUP(2,1/($B$1:B425=B426),$O$1:O425),0),"split",$E426,IFERROR(LOOKUP(2,1/($B$1:B425=B426),$O$1:O425),0)))</x:f>
      </x:c>
      <x:c r="P426" t="str">
        <x:f>IF(COUNTA($A426:$D426)=0,"",SWITCH(LOWER($D426),"buy",IFERROR(LOOKUP(2,1/($B$1:B425=B426),$P$1:P425),0)+$M426+$N426,"drip",IFERROR(LOOKUP(2,1/($B$1:B425=B426),$P$1:P425),0)+$M426+$N426,"sell",IFERROR(LOOKUP(2,1/($B$1:B425=B426),$P$1:P425),0)-IFERROR(IFERROR(LOOKUP(2,1/($B$1:B425=B426),$P$1:P425),0)/IFERROR(LOOKUP(2,1/($B$1:B425=B426),$O$1:O425),0)*$E426,0),"return_of_capital",IFERROR(LOOKUP(2,1/($B$1:B425=B426),$P$1:P425),0)-ABS($M426),"split",IFERROR(LOOKUP(2,1/($B$1:B425=B426),$P$1:P425),0),IFERROR(LOOKUP(2,1/($B$1:B425=B426),$P$1:P425),0)))</x:f>
      </x:c>
      <x:c r="Q426" t="str">
        <x:f>IFERROR($P426/$O426,"")</x:f>
      </x:c>
      <x:c r="R426" t="str">
        <x:f>IF(LOWER($D426)="sell",$M426-$N426-IFERROR(IFERROR(LOOKUP(2,1/($B$1:B425=B426),$P$1:P425),0)/IFERROR(LOOKUP(2,1/($B$1:B425=B426),$O$1:O425),0)*$E426,0),"")</x:f>
      </x:c>
      <x:c r="S426" t="str">
        <x:f>IF(COUNTA($A426:$D426)=0,"",IF($B426="","Missing symbol",IF($D426="","Missing action",IF(AND(LOWER($D426)="sell",$E426&gt;IFERROR(LOOKUP(2,1/($B$1:B425=B426),$O$1:O425),0)),"Sold more units than available","OK"))))</x:f>
      </x:c>
    </x:row>
    <x:row r="427">
      <x:c r="M427" t="str">
        <x:f>IF(COUNTA($A427:$D427)=0,"",IF($G427&lt;&gt;"",$G427,IF(AND($E427&lt;&gt;"",$F427&lt;&gt;""),$E427*$F427,""))*IF($J427&lt;&gt;"",$J427,1))</x:f>
      </x:c>
      <x:c r="N427" t="str">
        <x:f>IF(COUNTA($A427:$D427)=0,"",IF($H427&lt;&gt;"",$H427,0)*IF($J427&lt;&gt;"",$J427,1))</x:f>
      </x:c>
      <x:c r="O427" t="str">
        <x:f>IF(COUNTA($A427:$D427)=0,"",SWITCH(LOWER($D427),"buy",IFERROR(LOOKUP(2,1/($B$1:B426=B427),$O$1:O426),0)+$E427,"drip",IFERROR(LOOKUP(2,1/($B$1:B426=B427),$O$1:O426),0)+$E427,"sell",IFERROR(LOOKUP(2,1/($B$1:B426=B427),$O$1:O426),0)-$E427,"return_of_capital",IFERROR(LOOKUP(2,1/($B$1:B426=B427),$O$1:O426),0),"split",$E427,IFERROR(LOOKUP(2,1/($B$1:B426=B427),$O$1:O426),0)))</x:f>
      </x:c>
      <x:c r="P427" t="str">
        <x:f>IF(COUNTA($A427:$D427)=0,"",SWITCH(LOWER($D427),"buy",IFERROR(LOOKUP(2,1/($B$1:B426=B427),$P$1:P426),0)+$M427+$N427,"drip",IFERROR(LOOKUP(2,1/($B$1:B426=B427),$P$1:P426),0)+$M427+$N427,"sell",IFERROR(LOOKUP(2,1/($B$1:B426=B427),$P$1:P426),0)-IFERROR(IFERROR(LOOKUP(2,1/($B$1:B426=B427),$P$1:P426),0)/IFERROR(LOOKUP(2,1/($B$1:B426=B427),$O$1:O426),0)*$E427,0),"return_of_capital",IFERROR(LOOKUP(2,1/($B$1:B426=B427),$P$1:P426),0)-ABS($M427),"split",IFERROR(LOOKUP(2,1/($B$1:B426=B427),$P$1:P426),0),IFERROR(LOOKUP(2,1/($B$1:B426=B427),$P$1:P426),0)))</x:f>
      </x:c>
      <x:c r="Q427" t="str">
        <x:f>IFERROR($P427/$O427,"")</x:f>
      </x:c>
      <x:c r="R427" t="str">
        <x:f>IF(LOWER($D427)="sell",$M427-$N427-IFERROR(IFERROR(LOOKUP(2,1/($B$1:B426=B427),$P$1:P426),0)/IFERROR(LOOKUP(2,1/($B$1:B426=B427),$O$1:O426),0)*$E427,0),"")</x:f>
      </x:c>
      <x:c r="S427" t="str">
        <x:f>IF(COUNTA($A427:$D427)=0,"",IF($B427="","Missing symbol",IF($D427="","Missing action",IF(AND(LOWER($D427)="sell",$E427&gt;IFERROR(LOOKUP(2,1/($B$1:B426=B427),$O$1:O426),0)),"Sold more units than available","OK"))))</x:f>
      </x:c>
    </x:row>
    <x:row r="428">
      <x:c r="M428" t="str">
        <x:f>IF(COUNTA($A428:$D428)=0,"",IF($G428&lt;&gt;"",$G428,IF(AND($E428&lt;&gt;"",$F428&lt;&gt;""),$E428*$F428,""))*IF($J428&lt;&gt;"",$J428,1))</x:f>
      </x:c>
      <x:c r="N428" t="str">
        <x:f>IF(COUNTA($A428:$D428)=0,"",IF($H428&lt;&gt;"",$H428,0)*IF($J428&lt;&gt;"",$J428,1))</x:f>
      </x:c>
      <x:c r="O428" t="str">
        <x:f>IF(COUNTA($A428:$D428)=0,"",SWITCH(LOWER($D428),"buy",IFERROR(LOOKUP(2,1/($B$1:B427=B428),$O$1:O427),0)+$E428,"drip",IFERROR(LOOKUP(2,1/($B$1:B427=B428),$O$1:O427),0)+$E428,"sell",IFERROR(LOOKUP(2,1/($B$1:B427=B428),$O$1:O427),0)-$E428,"return_of_capital",IFERROR(LOOKUP(2,1/($B$1:B427=B428),$O$1:O427),0),"split",$E428,IFERROR(LOOKUP(2,1/($B$1:B427=B428),$O$1:O427),0)))</x:f>
      </x:c>
      <x:c r="P428" t="str">
        <x:f>IF(COUNTA($A428:$D428)=0,"",SWITCH(LOWER($D428),"buy",IFERROR(LOOKUP(2,1/($B$1:B427=B428),$P$1:P427),0)+$M428+$N428,"drip",IFERROR(LOOKUP(2,1/($B$1:B427=B428),$P$1:P427),0)+$M428+$N428,"sell",IFERROR(LOOKUP(2,1/($B$1:B427=B428),$P$1:P427),0)-IFERROR(IFERROR(LOOKUP(2,1/($B$1:B427=B428),$P$1:P427),0)/IFERROR(LOOKUP(2,1/($B$1:B427=B428),$O$1:O427),0)*$E428,0),"return_of_capital",IFERROR(LOOKUP(2,1/($B$1:B427=B428),$P$1:P427),0)-ABS($M428),"split",IFERROR(LOOKUP(2,1/($B$1:B427=B428),$P$1:P427),0),IFERROR(LOOKUP(2,1/($B$1:B427=B428),$P$1:P427),0)))</x:f>
      </x:c>
      <x:c r="Q428" t="str">
        <x:f>IFERROR($P428/$O428,"")</x:f>
      </x:c>
      <x:c r="R428" t="str">
        <x:f>IF(LOWER($D428)="sell",$M428-$N428-IFERROR(IFERROR(LOOKUP(2,1/($B$1:B427=B428),$P$1:P427),0)/IFERROR(LOOKUP(2,1/($B$1:B427=B428),$O$1:O427),0)*$E428,0),"")</x:f>
      </x:c>
      <x:c r="S428" t="str">
        <x:f>IF(COUNTA($A428:$D428)=0,"",IF($B428="","Missing symbol",IF($D428="","Missing action",IF(AND(LOWER($D428)="sell",$E428&gt;IFERROR(LOOKUP(2,1/($B$1:B427=B428),$O$1:O427),0)),"Sold more units than available","OK"))))</x:f>
      </x:c>
    </x:row>
    <x:row r="429">
      <x:c r="M429" t="str">
        <x:f>IF(COUNTA($A429:$D429)=0,"",IF($G429&lt;&gt;"",$G429,IF(AND($E429&lt;&gt;"",$F429&lt;&gt;""),$E429*$F429,""))*IF($J429&lt;&gt;"",$J429,1))</x:f>
      </x:c>
      <x:c r="N429" t="str">
        <x:f>IF(COUNTA($A429:$D429)=0,"",IF($H429&lt;&gt;"",$H429,0)*IF($J429&lt;&gt;"",$J429,1))</x:f>
      </x:c>
      <x:c r="O429" t="str">
        <x:f>IF(COUNTA($A429:$D429)=0,"",SWITCH(LOWER($D429),"buy",IFERROR(LOOKUP(2,1/($B$1:B428=B429),$O$1:O428),0)+$E429,"drip",IFERROR(LOOKUP(2,1/($B$1:B428=B429),$O$1:O428),0)+$E429,"sell",IFERROR(LOOKUP(2,1/($B$1:B428=B429),$O$1:O428),0)-$E429,"return_of_capital",IFERROR(LOOKUP(2,1/($B$1:B428=B429),$O$1:O428),0),"split",$E429,IFERROR(LOOKUP(2,1/($B$1:B428=B429),$O$1:O428),0)))</x:f>
      </x:c>
      <x:c r="P429" t="str">
        <x:f>IF(COUNTA($A429:$D429)=0,"",SWITCH(LOWER($D429),"buy",IFERROR(LOOKUP(2,1/($B$1:B428=B429),$P$1:P428),0)+$M429+$N429,"drip",IFERROR(LOOKUP(2,1/($B$1:B428=B429),$P$1:P428),0)+$M429+$N429,"sell",IFERROR(LOOKUP(2,1/($B$1:B428=B429),$P$1:P428),0)-IFERROR(IFERROR(LOOKUP(2,1/($B$1:B428=B429),$P$1:P428),0)/IFERROR(LOOKUP(2,1/($B$1:B428=B429),$O$1:O428),0)*$E429,0),"return_of_capital",IFERROR(LOOKUP(2,1/($B$1:B428=B429),$P$1:P428),0)-ABS($M429),"split",IFERROR(LOOKUP(2,1/($B$1:B428=B429),$P$1:P428),0),IFERROR(LOOKUP(2,1/($B$1:B428=B429),$P$1:P428),0)))</x:f>
      </x:c>
      <x:c r="Q429" t="str">
        <x:f>IFERROR($P429/$O429,"")</x:f>
      </x:c>
      <x:c r="R429" t="str">
        <x:f>IF(LOWER($D429)="sell",$M429-$N429-IFERROR(IFERROR(LOOKUP(2,1/($B$1:B428=B429),$P$1:P428),0)/IFERROR(LOOKUP(2,1/($B$1:B428=B429),$O$1:O428),0)*$E429,0),"")</x:f>
      </x:c>
      <x:c r="S429" t="str">
        <x:f>IF(COUNTA($A429:$D429)=0,"",IF($B429="","Missing symbol",IF($D429="","Missing action",IF(AND(LOWER($D429)="sell",$E429&gt;IFERROR(LOOKUP(2,1/($B$1:B428=B429),$O$1:O428),0)),"Sold more units than available","OK"))))</x:f>
      </x:c>
    </x:row>
    <x:row r="430">
      <x:c r="M430" t="str">
        <x:f>IF(COUNTA($A430:$D430)=0,"",IF($G430&lt;&gt;"",$G430,IF(AND($E430&lt;&gt;"",$F430&lt;&gt;""),$E430*$F430,""))*IF($J430&lt;&gt;"",$J430,1))</x:f>
      </x:c>
      <x:c r="N430" t="str">
        <x:f>IF(COUNTA($A430:$D430)=0,"",IF($H430&lt;&gt;"",$H430,0)*IF($J430&lt;&gt;"",$J430,1))</x:f>
      </x:c>
      <x:c r="O430" t="str">
        <x:f>IF(COUNTA($A430:$D430)=0,"",SWITCH(LOWER($D430),"buy",IFERROR(LOOKUP(2,1/($B$1:B429=B430),$O$1:O429),0)+$E430,"drip",IFERROR(LOOKUP(2,1/($B$1:B429=B430),$O$1:O429),0)+$E430,"sell",IFERROR(LOOKUP(2,1/($B$1:B429=B430),$O$1:O429),0)-$E430,"return_of_capital",IFERROR(LOOKUP(2,1/($B$1:B429=B430),$O$1:O429),0),"split",$E430,IFERROR(LOOKUP(2,1/($B$1:B429=B430),$O$1:O429),0)))</x:f>
      </x:c>
      <x:c r="P430" t="str">
        <x:f>IF(COUNTA($A430:$D430)=0,"",SWITCH(LOWER($D430),"buy",IFERROR(LOOKUP(2,1/($B$1:B429=B430),$P$1:P429),0)+$M430+$N430,"drip",IFERROR(LOOKUP(2,1/($B$1:B429=B430),$P$1:P429),0)+$M430+$N430,"sell",IFERROR(LOOKUP(2,1/($B$1:B429=B430),$P$1:P429),0)-IFERROR(IFERROR(LOOKUP(2,1/($B$1:B429=B430),$P$1:P429),0)/IFERROR(LOOKUP(2,1/($B$1:B429=B430),$O$1:O429),0)*$E430,0),"return_of_capital",IFERROR(LOOKUP(2,1/($B$1:B429=B430),$P$1:P429),0)-ABS($M430),"split",IFERROR(LOOKUP(2,1/($B$1:B429=B430),$P$1:P429),0),IFERROR(LOOKUP(2,1/($B$1:B429=B430),$P$1:P429),0)))</x:f>
      </x:c>
      <x:c r="Q430" t="str">
        <x:f>IFERROR($P430/$O430,"")</x:f>
      </x:c>
      <x:c r="R430" t="str">
        <x:f>IF(LOWER($D430)="sell",$M430-$N430-IFERROR(IFERROR(LOOKUP(2,1/($B$1:B429=B430),$P$1:P429),0)/IFERROR(LOOKUP(2,1/($B$1:B429=B430),$O$1:O429),0)*$E430,0),"")</x:f>
      </x:c>
      <x:c r="S430" t="str">
        <x:f>IF(COUNTA($A430:$D430)=0,"",IF($B430="","Missing symbol",IF($D430="","Missing action",IF(AND(LOWER($D430)="sell",$E430&gt;IFERROR(LOOKUP(2,1/($B$1:B429=B430),$O$1:O429),0)),"Sold more units than available","OK"))))</x:f>
      </x:c>
    </x:row>
    <x:row r="431">
      <x:c r="M431" t="str">
        <x:f>IF(COUNTA($A431:$D431)=0,"",IF($G431&lt;&gt;"",$G431,IF(AND($E431&lt;&gt;"",$F431&lt;&gt;""),$E431*$F431,""))*IF($J431&lt;&gt;"",$J431,1))</x:f>
      </x:c>
      <x:c r="N431" t="str">
        <x:f>IF(COUNTA($A431:$D431)=0,"",IF($H431&lt;&gt;"",$H431,0)*IF($J431&lt;&gt;"",$J431,1))</x:f>
      </x:c>
      <x:c r="O431" t="str">
        <x:f>IF(COUNTA($A431:$D431)=0,"",SWITCH(LOWER($D431),"buy",IFERROR(LOOKUP(2,1/($B$1:B430=B431),$O$1:O430),0)+$E431,"drip",IFERROR(LOOKUP(2,1/($B$1:B430=B431),$O$1:O430),0)+$E431,"sell",IFERROR(LOOKUP(2,1/($B$1:B430=B431),$O$1:O430),0)-$E431,"return_of_capital",IFERROR(LOOKUP(2,1/($B$1:B430=B431),$O$1:O430),0),"split",$E431,IFERROR(LOOKUP(2,1/($B$1:B430=B431),$O$1:O430),0)))</x:f>
      </x:c>
      <x:c r="P431" t="str">
        <x:f>IF(COUNTA($A431:$D431)=0,"",SWITCH(LOWER($D431),"buy",IFERROR(LOOKUP(2,1/($B$1:B430=B431),$P$1:P430),0)+$M431+$N431,"drip",IFERROR(LOOKUP(2,1/($B$1:B430=B431),$P$1:P430),0)+$M431+$N431,"sell",IFERROR(LOOKUP(2,1/($B$1:B430=B431),$P$1:P430),0)-IFERROR(IFERROR(LOOKUP(2,1/($B$1:B430=B431),$P$1:P430),0)/IFERROR(LOOKUP(2,1/($B$1:B430=B431),$O$1:O430),0)*$E431,0),"return_of_capital",IFERROR(LOOKUP(2,1/($B$1:B430=B431),$P$1:P430),0)-ABS($M431),"split",IFERROR(LOOKUP(2,1/($B$1:B430=B431),$P$1:P430),0),IFERROR(LOOKUP(2,1/($B$1:B430=B431),$P$1:P430),0)))</x:f>
      </x:c>
      <x:c r="Q431" t="str">
        <x:f>IFERROR($P431/$O431,"")</x:f>
      </x:c>
      <x:c r="R431" t="str">
        <x:f>IF(LOWER($D431)="sell",$M431-$N431-IFERROR(IFERROR(LOOKUP(2,1/($B$1:B430=B431),$P$1:P430),0)/IFERROR(LOOKUP(2,1/($B$1:B430=B431),$O$1:O430),0)*$E431,0),"")</x:f>
      </x:c>
      <x:c r="S431" t="str">
        <x:f>IF(COUNTA($A431:$D431)=0,"",IF($B431="","Missing symbol",IF($D431="","Missing action",IF(AND(LOWER($D431)="sell",$E431&gt;IFERROR(LOOKUP(2,1/($B$1:B430=B431),$O$1:O430),0)),"Sold more units than available","OK"))))</x:f>
      </x:c>
    </x:row>
    <x:row r="432">
      <x:c r="M432" t="str">
        <x:f>IF(COUNTA($A432:$D432)=0,"",IF($G432&lt;&gt;"",$G432,IF(AND($E432&lt;&gt;"",$F432&lt;&gt;""),$E432*$F432,""))*IF($J432&lt;&gt;"",$J432,1))</x:f>
      </x:c>
      <x:c r="N432" t="str">
        <x:f>IF(COUNTA($A432:$D432)=0,"",IF($H432&lt;&gt;"",$H432,0)*IF($J432&lt;&gt;"",$J432,1))</x:f>
      </x:c>
      <x:c r="O432" t="str">
        <x:f>IF(COUNTA($A432:$D432)=0,"",SWITCH(LOWER($D432),"buy",IFERROR(LOOKUP(2,1/($B$1:B431=B432),$O$1:O431),0)+$E432,"drip",IFERROR(LOOKUP(2,1/($B$1:B431=B432),$O$1:O431),0)+$E432,"sell",IFERROR(LOOKUP(2,1/($B$1:B431=B432),$O$1:O431),0)-$E432,"return_of_capital",IFERROR(LOOKUP(2,1/($B$1:B431=B432),$O$1:O431),0),"split",$E432,IFERROR(LOOKUP(2,1/($B$1:B431=B432),$O$1:O431),0)))</x:f>
      </x:c>
      <x:c r="P432" t="str">
        <x:f>IF(COUNTA($A432:$D432)=0,"",SWITCH(LOWER($D432),"buy",IFERROR(LOOKUP(2,1/($B$1:B431=B432),$P$1:P431),0)+$M432+$N432,"drip",IFERROR(LOOKUP(2,1/($B$1:B431=B432),$P$1:P431),0)+$M432+$N432,"sell",IFERROR(LOOKUP(2,1/($B$1:B431=B432),$P$1:P431),0)-IFERROR(IFERROR(LOOKUP(2,1/($B$1:B431=B432),$P$1:P431),0)/IFERROR(LOOKUP(2,1/($B$1:B431=B432),$O$1:O431),0)*$E432,0),"return_of_capital",IFERROR(LOOKUP(2,1/($B$1:B431=B432),$P$1:P431),0)-ABS($M432),"split",IFERROR(LOOKUP(2,1/($B$1:B431=B432),$P$1:P431),0),IFERROR(LOOKUP(2,1/($B$1:B431=B432),$P$1:P431),0)))</x:f>
      </x:c>
      <x:c r="Q432" t="str">
        <x:f>IFERROR($P432/$O432,"")</x:f>
      </x:c>
      <x:c r="R432" t="str">
        <x:f>IF(LOWER($D432)="sell",$M432-$N432-IFERROR(IFERROR(LOOKUP(2,1/($B$1:B431=B432),$P$1:P431),0)/IFERROR(LOOKUP(2,1/($B$1:B431=B432),$O$1:O431),0)*$E432,0),"")</x:f>
      </x:c>
      <x:c r="S432" t="str">
        <x:f>IF(COUNTA($A432:$D432)=0,"",IF($B432="","Missing symbol",IF($D432="","Missing action",IF(AND(LOWER($D432)="sell",$E432&gt;IFERROR(LOOKUP(2,1/($B$1:B431=B432),$O$1:O431),0)),"Sold more units than available","OK"))))</x:f>
      </x:c>
    </x:row>
    <x:row r="433">
      <x:c r="M433" t="str">
        <x:f>IF(COUNTA($A433:$D433)=0,"",IF($G433&lt;&gt;"",$G433,IF(AND($E433&lt;&gt;"",$F433&lt;&gt;""),$E433*$F433,""))*IF($J433&lt;&gt;"",$J433,1))</x:f>
      </x:c>
      <x:c r="N433" t="str">
        <x:f>IF(COUNTA($A433:$D433)=0,"",IF($H433&lt;&gt;"",$H433,0)*IF($J433&lt;&gt;"",$J433,1))</x:f>
      </x:c>
      <x:c r="O433" t="str">
        <x:f>IF(COUNTA($A433:$D433)=0,"",SWITCH(LOWER($D433),"buy",IFERROR(LOOKUP(2,1/($B$1:B432=B433),$O$1:O432),0)+$E433,"drip",IFERROR(LOOKUP(2,1/($B$1:B432=B433),$O$1:O432),0)+$E433,"sell",IFERROR(LOOKUP(2,1/($B$1:B432=B433),$O$1:O432),0)-$E433,"return_of_capital",IFERROR(LOOKUP(2,1/($B$1:B432=B433),$O$1:O432),0),"split",$E433,IFERROR(LOOKUP(2,1/($B$1:B432=B433),$O$1:O432),0)))</x:f>
      </x:c>
      <x:c r="P433" t="str">
        <x:f>IF(COUNTA($A433:$D433)=0,"",SWITCH(LOWER($D433),"buy",IFERROR(LOOKUP(2,1/($B$1:B432=B433),$P$1:P432),0)+$M433+$N433,"drip",IFERROR(LOOKUP(2,1/($B$1:B432=B433),$P$1:P432),0)+$M433+$N433,"sell",IFERROR(LOOKUP(2,1/($B$1:B432=B433),$P$1:P432),0)-IFERROR(IFERROR(LOOKUP(2,1/($B$1:B432=B433),$P$1:P432),0)/IFERROR(LOOKUP(2,1/($B$1:B432=B433),$O$1:O432),0)*$E433,0),"return_of_capital",IFERROR(LOOKUP(2,1/($B$1:B432=B433),$P$1:P432),0)-ABS($M433),"split",IFERROR(LOOKUP(2,1/($B$1:B432=B433),$P$1:P432),0),IFERROR(LOOKUP(2,1/($B$1:B432=B433),$P$1:P432),0)))</x:f>
      </x:c>
      <x:c r="Q433" t="str">
        <x:f>IFERROR($P433/$O433,"")</x:f>
      </x:c>
      <x:c r="R433" t="str">
        <x:f>IF(LOWER($D433)="sell",$M433-$N433-IFERROR(IFERROR(LOOKUP(2,1/($B$1:B432=B433),$P$1:P432),0)/IFERROR(LOOKUP(2,1/($B$1:B432=B433),$O$1:O432),0)*$E433,0),"")</x:f>
      </x:c>
      <x:c r="S433" t="str">
        <x:f>IF(COUNTA($A433:$D433)=0,"",IF($B433="","Missing symbol",IF($D433="","Missing action",IF(AND(LOWER($D433)="sell",$E433&gt;IFERROR(LOOKUP(2,1/($B$1:B432=B433),$O$1:O432),0)),"Sold more units than available","OK"))))</x:f>
      </x:c>
    </x:row>
    <x:row r="434">
      <x:c r="M434" t="str">
        <x:f>IF(COUNTA($A434:$D434)=0,"",IF($G434&lt;&gt;"",$G434,IF(AND($E434&lt;&gt;"",$F434&lt;&gt;""),$E434*$F434,""))*IF($J434&lt;&gt;"",$J434,1))</x:f>
      </x:c>
      <x:c r="N434" t="str">
        <x:f>IF(COUNTA($A434:$D434)=0,"",IF($H434&lt;&gt;"",$H434,0)*IF($J434&lt;&gt;"",$J434,1))</x:f>
      </x:c>
      <x:c r="O434" t="str">
        <x:f>IF(COUNTA($A434:$D434)=0,"",SWITCH(LOWER($D434),"buy",IFERROR(LOOKUP(2,1/($B$1:B433=B434),$O$1:O433),0)+$E434,"drip",IFERROR(LOOKUP(2,1/($B$1:B433=B434),$O$1:O433),0)+$E434,"sell",IFERROR(LOOKUP(2,1/($B$1:B433=B434),$O$1:O433),0)-$E434,"return_of_capital",IFERROR(LOOKUP(2,1/($B$1:B433=B434),$O$1:O433),0),"split",$E434,IFERROR(LOOKUP(2,1/($B$1:B433=B434),$O$1:O433),0)))</x:f>
      </x:c>
      <x:c r="P434" t="str">
        <x:f>IF(COUNTA($A434:$D434)=0,"",SWITCH(LOWER($D434),"buy",IFERROR(LOOKUP(2,1/($B$1:B433=B434),$P$1:P433),0)+$M434+$N434,"drip",IFERROR(LOOKUP(2,1/($B$1:B433=B434),$P$1:P433),0)+$M434+$N434,"sell",IFERROR(LOOKUP(2,1/($B$1:B433=B434),$P$1:P433),0)-IFERROR(IFERROR(LOOKUP(2,1/($B$1:B433=B434),$P$1:P433),0)/IFERROR(LOOKUP(2,1/($B$1:B433=B434),$O$1:O433),0)*$E434,0),"return_of_capital",IFERROR(LOOKUP(2,1/($B$1:B433=B434),$P$1:P433),0)-ABS($M434),"split",IFERROR(LOOKUP(2,1/($B$1:B433=B434),$P$1:P433),0),IFERROR(LOOKUP(2,1/($B$1:B433=B434),$P$1:P433),0)))</x:f>
      </x:c>
      <x:c r="Q434" t="str">
        <x:f>IFERROR($P434/$O434,"")</x:f>
      </x:c>
      <x:c r="R434" t="str">
        <x:f>IF(LOWER($D434)="sell",$M434-$N434-IFERROR(IFERROR(LOOKUP(2,1/($B$1:B433=B434),$P$1:P433),0)/IFERROR(LOOKUP(2,1/($B$1:B433=B434),$O$1:O433),0)*$E434,0),"")</x:f>
      </x:c>
      <x:c r="S434" t="str">
        <x:f>IF(COUNTA($A434:$D434)=0,"",IF($B434="","Missing symbol",IF($D434="","Missing action",IF(AND(LOWER($D434)="sell",$E434&gt;IFERROR(LOOKUP(2,1/($B$1:B433=B434),$O$1:O433),0)),"Sold more units than available","OK"))))</x:f>
      </x:c>
    </x:row>
    <x:row r="435">
      <x:c r="M435" t="str">
        <x:f>IF(COUNTA($A435:$D435)=0,"",IF($G435&lt;&gt;"",$G435,IF(AND($E435&lt;&gt;"",$F435&lt;&gt;""),$E435*$F435,""))*IF($J435&lt;&gt;"",$J435,1))</x:f>
      </x:c>
      <x:c r="N435" t="str">
        <x:f>IF(COUNTA($A435:$D435)=0,"",IF($H435&lt;&gt;"",$H435,0)*IF($J435&lt;&gt;"",$J435,1))</x:f>
      </x:c>
      <x:c r="O435" t="str">
        <x:f>IF(COUNTA($A435:$D435)=0,"",SWITCH(LOWER($D435),"buy",IFERROR(LOOKUP(2,1/($B$1:B434=B435),$O$1:O434),0)+$E435,"drip",IFERROR(LOOKUP(2,1/($B$1:B434=B435),$O$1:O434),0)+$E435,"sell",IFERROR(LOOKUP(2,1/($B$1:B434=B435),$O$1:O434),0)-$E435,"return_of_capital",IFERROR(LOOKUP(2,1/($B$1:B434=B435),$O$1:O434),0),"split",$E435,IFERROR(LOOKUP(2,1/($B$1:B434=B435),$O$1:O434),0)))</x:f>
      </x:c>
      <x:c r="P435" t="str">
        <x:f>IF(COUNTA($A435:$D435)=0,"",SWITCH(LOWER($D435),"buy",IFERROR(LOOKUP(2,1/($B$1:B434=B435),$P$1:P434),0)+$M435+$N435,"drip",IFERROR(LOOKUP(2,1/($B$1:B434=B435),$P$1:P434),0)+$M435+$N435,"sell",IFERROR(LOOKUP(2,1/($B$1:B434=B435),$P$1:P434),0)-IFERROR(IFERROR(LOOKUP(2,1/($B$1:B434=B435),$P$1:P434),0)/IFERROR(LOOKUP(2,1/($B$1:B434=B435),$O$1:O434),0)*$E435,0),"return_of_capital",IFERROR(LOOKUP(2,1/($B$1:B434=B435),$P$1:P434),0)-ABS($M435),"split",IFERROR(LOOKUP(2,1/($B$1:B434=B435),$P$1:P434),0),IFERROR(LOOKUP(2,1/($B$1:B434=B435),$P$1:P434),0)))</x:f>
      </x:c>
      <x:c r="Q435" t="str">
        <x:f>IFERROR($P435/$O435,"")</x:f>
      </x:c>
      <x:c r="R435" t="str">
        <x:f>IF(LOWER($D435)="sell",$M435-$N435-IFERROR(IFERROR(LOOKUP(2,1/($B$1:B434=B435),$P$1:P434),0)/IFERROR(LOOKUP(2,1/($B$1:B434=B435),$O$1:O434),0)*$E435,0),"")</x:f>
      </x:c>
      <x:c r="S435" t="str">
        <x:f>IF(COUNTA($A435:$D435)=0,"",IF($B435="","Missing symbol",IF($D435="","Missing action",IF(AND(LOWER($D435)="sell",$E435&gt;IFERROR(LOOKUP(2,1/($B$1:B434=B435),$O$1:O434),0)),"Sold more units than available","OK"))))</x:f>
      </x:c>
    </x:row>
    <x:row r="436">
      <x:c r="M436" t="str">
        <x:f>IF(COUNTA($A436:$D436)=0,"",IF($G436&lt;&gt;"",$G436,IF(AND($E436&lt;&gt;"",$F436&lt;&gt;""),$E436*$F436,""))*IF($J436&lt;&gt;"",$J436,1))</x:f>
      </x:c>
      <x:c r="N436" t="str">
        <x:f>IF(COUNTA($A436:$D436)=0,"",IF($H436&lt;&gt;"",$H436,0)*IF($J436&lt;&gt;"",$J436,1))</x:f>
      </x:c>
      <x:c r="O436" t="str">
        <x:f>IF(COUNTA($A436:$D436)=0,"",SWITCH(LOWER($D436),"buy",IFERROR(LOOKUP(2,1/($B$1:B435=B436),$O$1:O435),0)+$E436,"drip",IFERROR(LOOKUP(2,1/($B$1:B435=B436),$O$1:O435),0)+$E436,"sell",IFERROR(LOOKUP(2,1/($B$1:B435=B436),$O$1:O435),0)-$E436,"return_of_capital",IFERROR(LOOKUP(2,1/($B$1:B435=B436),$O$1:O435),0),"split",$E436,IFERROR(LOOKUP(2,1/($B$1:B435=B436),$O$1:O435),0)))</x:f>
      </x:c>
      <x:c r="P436" t="str">
        <x:f>IF(COUNTA($A436:$D436)=0,"",SWITCH(LOWER($D436),"buy",IFERROR(LOOKUP(2,1/($B$1:B435=B436),$P$1:P435),0)+$M436+$N436,"drip",IFERROR(LOOKUP(2,1/($B$1:B435=B436),$P$1:P435),0)+$M436+$N436,"sell",IFERROR(LOOKUP(2,1/($B$1:B435=B436),$P$1:P435),0)-IFERROR(IFERROR(LOOKUP(2,1/($B$1:B435=B436),$P$1:P435),0)/IFERROR(LOOKUP(2,1/($B$1:B435=B436),$O$1:O435),0)*$E436,0),"return_of_capital",IFERROR(LOOKUP(2,1/($B$1:B435=B436),$P$1:P435),0)-ABS($M436),"split",IFERROR(LOOKUP(2,1/($B$1:B435=B436),$P$1:P435),0),IFERROR(LOOKUP(2,1/($B$1:B435=B436),$P$1:P435),0)))</x:f>
      </x:c>
      <x:c r="Q436" t="str">
        <x:f>IFERROR($P436/$O436,"")</x:f>
      </x:c>
      <x:c r="R436" t="str">
        <x:f>IF(LOWER($D436)="sell",$M436-$N436-IFERROR(IFERROR(LOOKUP(2,1/($B$1:B435=B436),$P$1:P435),0)/IFERROR(LOOKUP(2,1/($B$1:B435=B436),$O$1:O435),0)*$E436,0),"")</x:f>
      </x:c>
      <x:c r="S436" t="str">
        <x:f>IF(COUNTA($A436:$D436)=0,"",IF($B436="","Missing symbol",IF($D436="","Missing action",IF(AND(LOWER($D436)="sell",$E436&gt;IFERROR(LOOKUP(2,1/($B$1:B435=B436),$O$1:O435),0)),"Sold more units than available","OK"))))</x:f>
      </x:c>
    </x:row>
    <x:row r="437">
      <x:c r="M437" t="str">
        <x:f>IF(COUNTA($A437:$D437)=0,"",IF($G437&lt;&gt;"",$G437,IF(AND($E437&lt;&gt;"",$F437&lt;&gt;""),$E437*$F437,""))*IF($J437&lt;&gt;"",$J437,1))</x:f>
      </x:c>
      <x:c r="N437" t="str">
        <x:f>IF(COUNTA($A437:$D437)=0,"",IF($H437&lt;&gt;"",$H437,0)*IF($J437&lt;&gt;"",$J437,1))</x:f>
      </x:c>
      <x:c r="O437" t="str">
        <x:f>IF(COUNTA($A437:$D437)=0,"",SWITCH(LOWER($D437),"buy",IFERROR(LOOKUP(2,1/($B$1:B436=B437),$O$1:O436),0)+$E437,"drip",IFERROR(LOOKUP(2,1/($B$1:B436=B437),$O$1:O436),0)+$E437,"sell",IFERROR(LOOKUP(2,1/($B$1:B436=B437),$O$1:O436),0)-$E437,"return_of_capital",IFERROR(LOOKUP(2,1/($B$1:B436=B437),$O$1:O436),0),"split",$E437,IFERROR(LOOKUP(2,1/($B$1:B436=B437),$O$1:O436),0)))</x:f>
      </x:c>
      <x:c r="P437" t="str">
        <x:f>IF(COUNTA($A437:$D437)=0,"",SWITCH(LOWER($D437),"buy",IFERROR(LOOKUP(2,1/($B$1:B436=B437),$P$1:P436),0)+$M437+$N437,"drip",IFERROR(LOOKUP(2,1/($B$1:B436=B437),$P$1:P436),0)+$M437+$N437,"sell",IFERROR(LOOKUP(2,1/($B$1:B436=B437),$P$1:P436),0)-IFERROR(IFERROR(LOOKUP(2,1/($B$1:B436=B437),$P$1:P436),0)/IFERROR(LOOKUP(2,1/($B$1:B436=B437),$O$1:O436),0)*$E437,0),"return_of_capital",IFERROR(LOOKUP(2,1/($B$1:B436=B437),$P$1:P436),0)-ABS($M437),"split",IFERROR(LOOKUP(2,1/($B$1:B436=B437),$P$1:P436),0),IFERROR(LOOKUP(2,1/($B$1:B436=B437),$P$1:P436),0)))</x:f>
      </x:c>
      <x:c r="Q437" t="str">
        <x:f>IFERROR($P437/$O437,"")</x:f>
      </x:c>
      <x:c r="R437" t="str">
        <x:f>IF(LOWER($D437)="sell",$M437-$N437-IFERROR(IFERROR(LOOKUP(2,1/($B$1:B436=B437),$P$1:P436),0)/IFERROR(LOOKUP(2,1/($B$1:B436=B437),$O$1:O436),0)*$E437,0),"")</x:f>
      </x:c>
      <x:c r="S437" t="str">
        <x:f>IF(COUNTA($A437:$D437)=0,"",IF($B437="","Missing symbol",IF($D437="","Missing action",IF(AND(LOWER($D437)="sell",$E437&gt;IFERROR(LOOKUP(2,1/($B$1:B436=B437),$O$1:O436),0)),"Sold more units than available","OK"))))</x:f>
      </x:c>
    </x:row>
    <x:row r="438">
      <x:c r="M438" t="str">
        <x:f>IF(COUNTA($A438:$D438)=0,"",IF($G438&lt;&gt;"",$G438,IF(AND($E438&lt;&gt;"",$F438&lt;&gt;""),$E438*$F438,""))*IF($J438&lt;&gt;"",$J438,1))</x:f>
      </x:c>
      <x:c r="N438" t="str">
        <x:f>IF(COUNTA($A438:$D438)=0,"",IF($H438&lt;&gt;"",$H438,0)*IF($J438&lt;&gt;"",$J438,1))</x:f>
      </x:c>
      <x:c r="O438" t="str">
        <x:f>IF(COUNTA($A438:$D438)=0,"",SWITCH(LOWER($D438),"buy",IFERROR(LOOKUP(2,1/($B$1:B437=B438),$O$1:O437),0)+$E438,"drip",IFERROR(LOOKUP(2,1/($B$1:B437=B438),$O$1:O437),0)+$E438,"sell",IFERROR(LOOKUP(2,1/($B$1:B437=B438),$O$1:O437),0)-$E438,"return_of_capital",IFERROR(LOOKUP(2,1/($B$1:B437=B438),$O$1:O437),0),"split",$E438,IFERROR(LOOKUP(2,1/($B$1:B437=B438),$O$1:O437),0)))</x:f>
      </x:c>
      <x:c r="P438" t="str">
        <x:f>IF(COUNTA($A438:$D438)=0,"",SWITCH(LOWER($D438),"buy",IFERROR(LOOKUP(2,1/($B$1:B437=B438),$P$1:P437),0)+$M438+$N438,"drip",IFERROR(LOOKUP(2,1/($B$1:B437=B438),$P$1:P437),0)+$M438+$N438,"sell",IFERROR(LOOKUP(2,1/($B$1:B437=B438),$P$1:P437),0)-IFERROR(IFERROR(LOOKUP(2,1/($B$1:B437=B438),$P$1:P437),0)/IFERROR(LOOKUP(2,1/($B$1:B437=B438),$O$1:O437),0)*$E438,0),"return_of_capital",IFERROR(LOOKUP(2,1/($B$1:B437=B438),$P$1:P437),0)-ABS($M438),"split",IFERROR(LOOKUP(2,1/($B$1:B437=B438),$P$1:P437),0),IFERROR(LOOKUP(2,1/($B$1:B437=B438),$P$1:P437),0)))</x:f>
      </x:c>
      <x:c r="Q438" t="str">
        <x:f>IFERROR($P438/$O438,"")</x:f>
      </x:c>
      <x:c r="R438" t="str">
        <x:f>IF(LOWER($D438)="sell",$M438-$N438-IFERROR(IFERROR(LOOKUP(2,1/($B$1:B437=B438),$P$1:P437),0)/IFERROR(LOOKUP(2,1/($B$1:B437=B438),$O$1:O437),0)*$E438,0),"")</x:f>
      </x:c>
      <x:c r="S438" t="str">
        <x:f>IF(COUNTA($A438:$D438)=0,"",IF($B438="","Missing symbol",IF($D438="","Missing action",IF(AND(LOWER($D438)="sell",$E438&gt;IFERROR(LOOKUP(2,1/($B$1:B437=B438),$O$1:O437),0)),"Sold more units than available","OK"))))</x:f>
      </x:c>
    </x:row>
    <x:row r="439">
      <x:c r="M439" t="str">
        <x:f>IF(COUNTA($A439:$D439)=0,"",IF($G439&lt;&gt;"",$G439,IF(AND($E439&lt;&gt;"",$F439&lt;&gt;""),$E439*$F439,""))*IF($J439&lt;&gt;"",$J439,1))</x:f>
      </x:c>
      <x:c r="N439" t="str">
        <x:f>IF(COUNTA($A439:$D439)=0,"",IF($H439&lt;&gt;"",$H439,0)*IF($J439&lt;&gt;"",$J439,1))</x:f>
      </x:c>
      <x:c r="O439" t="str">
        <x:f>IF(COUNTA($A439:$D439)=0,"",SWITCH(LOWER($D439),"buy",IFERROR(LOOKUP(2,1/($B$1:B438=B439),$O$1:O438),0)+$E439,"drip",IFERROR(LOOKUP(2,1/($B$1:B438=B439),$O$1:O438),0)+$E439,"sell",IFERROR(LOOKUP(2,1/($B$1:B438=B439),$O$1:O438),0)-$E439,"return_of_capital",IFERROR(LOOKUP(2,1/($B$1:B438=B439),$O$1:O438),0),"split",$E439,IFERROR(LOOKUP(2,1/($B$1:B438=B439),$O$1:O438),0)))</x:f>
      </x:c>
      <x:c r="P439" t="str">
        <x:f>IF(COUNTA($A439:$D439)=0,"",SWITCH(LOWER($D439),"buy",IFERROR(LOOKUP(2,1/($B$1:B438=B439),$P$1:P438),0)+$M439+$N439,"drip",IFERROR(LOOKUP(2,1/($B$1:B438=B439),$P$1:P438),0)+$M439+$N439,"sell",IFERROR(LOOKUP(2,1/($B$1:B438=B439),$P$1:P438),0)-IFERROR(IFERROR(LOOKUP(2,1/($B$1:B438=B439),$P$1:P438),0)/IFERROR(LOOKUP(2,1/($B$1:B438=B439),$O$1:O438),0)*$E439,0),"return_of_capital",IFERROR(LOOKUP(2,1/($B$1:B438=B439),$P$1:P438),0)-ABS($M439),"split",IFERROR(LOOKUP(2,1/($B$1:B438=B439),$P$1:P438),0),IFERROR(LOOKUP(2,1/($B$1:B438=B439),$P$1:P438),0)))</x:f>
      </x:c>
      <x:c r="Q439" t="str">
        <x:f>IFERROR($P439/$O439,"")</x:f>
      </x:c>
      <x:c r="R439" t="str">
        <x:f>IF(LOWER($D439)="sell",$M439-$N439-IFERROR(IFERROR(LOOKUP(2,1/($B$1:B438=B439),$P$1:P438),0)/IFERROR(LOOKUP(2,1/($B$1:B438=B439),$O$1:O438),0)*$E439,0),"")</x:f>
      </x:c>
      <x:c r="S439" t="str">
        <x:f>IF(COUNTA($A439:$D439)=0,"",IF($B439="","Missing symbol",IF($D439="","Missing action",IF(AND(LOWER($D439)="sell",$E439&gt;IFERROR(LOOKUP(2,1/($B$1:B438=B439),$O$1:O438),0)),"Sold more units than available","OK"))))</x:f>
      </x:c>
    </x:row>
    <x:row r="440">
      <x:c r="M440" t="str">
        <x:f>IF(COUNTA($A440:$D440)=0,"",IF($G440&lt;&gt;"",$G440,IF(AND($E440&lt;&gt;"",$F440&lt;&gt;""),$E440*$F440,""))*IF($J440&lt;&gt;"",$J440,1))</x:f>
      </x:c>
      <x:c r="N440" t="str">
        <x:f>IF(COUNTA($A440:$D440)=0,"",IF($H440&lt;&gt;"",$H440,0)*IF($J440&lt;&gt;"",$J440,1))</x:f>
      </x:c>
      <x:c r="O440" t="str">
        <x:f>IF(COUNTA($A440:$D440)=0,"",SWITCH(LOWER($D440),"buy",IFERROR(LOOKUP(2,1/($B$1:B439=B440),$O$1:O439),0)+$E440,"drip",IFERROR(LOOKUP(2,1/($B$1:B439=B440),$O$1:O439),0)+$E440,"sell",IFERROR(LOOKUP(2,1/($B$1:B439=B440),$O$1:O439),0)-$E440,"return_of_capital",IFERROR(LOOKUP(2,1/($B$1:B439=B440),$O$1:O439),0),"split",$E440,IFERROR(LOOKUP(2,1/($B$1:B439=B440),$O$1:O439),0)))</x:f>
      </x:c>
      <x:c r="P440" t="str">
        <x:f>IF(COUNTA($A440:$D440)=0,"",SWITCH(LOWER($D440),"buy",IFERROR(LOOKUP(2,1/($B$1:B439=B440),$P$1:P439),0)+$M440+$N440,"drip",IFERROR(LOOKUP(2,1/($B$1:B439=B440),$P$1:P439),0)+$M440+$N440,"sell",IFERROR(LOOKUP(2,1/($B$1:B439=B440),$P$1:P439),0)-IFERROR(IFERROR(LOOKUP(2,1/($B$1:B439=B440),$P$1:P439),0)/IFERROR(LOOKUP(2,1/($B$1:B439=B440),$O$1:O439),0)*$E440,0),"return_of_capital",IFERROR(LOOKUP(2,1/($B$1:B439=B440),$P$1:P439),0)-ABS($M440),"split",IFERROR(LOOKUP(2,1/($B$1:B439=B440),$P$1:P439),0),IFERROR(LOOKUP(2,1/($B$1:B439=B440),$P$1:P439),0)))</x:f>
      </x:c>
      <x:c r="Q440" t="str">
        <x:f>IFERROR($P440/$O440,"")</x:f>
      </x:c>
      <x:c r="R440" t="str">
        <x:f>IF(LOWER($D440)="sell",$M440-$N440-IFERROR(IFERROR(LOOKUP(2,1/($B$1:B439=B440),$P$1:P439),0)/IFERROR(LOOKUP(2,1/($B$1:B439=B440),$O$1:O439),0)*$E440,0),"")</x:f>
      </x:c>
      <x:c r="S440" t="str">
        <x:f>IF(COUNTA($A440:$D440)=0,"",IF($B440="","Missing symbol",IF($D440="","Missing action",IF(AND(LOWER($D440)="sell",$E440&gt;IFERROR(LOOKUP(2,1/($B$1:B439=B440),$O$1:O439),0)),"Sold more units than available","OK"))))</x:f>
      </x:c>
    </x:row>
    <x:row r="441">
      <x:c r="M441" t="str">
        <x:f>IF(COUNTA($A441:$D441)=0,"",IF($G441&lt;&gt;"",$G441,IF(AND($E441&lt;&gt;"",$F441&lt;&gt;""),$E441*$F441,""))*IF($J441&lt;&gt;"",$J441,1))</x:f>
      </x:c>
      <x:c r="N441" t="str">
        <x:f>IF(COUNTA($A441:$D441)=0,"",IF($H441&lt;&gt;"",$H441,0)*IF($J441&lt;&gt;"",$J441,1))</x:f>
      </x:c>
      <x:c r="O441" t="str">
        <x:f>IF(COUNTA($A441:$D441)=0,"",SWITCH(LOWER($D441),"buy",IFERROR(LOOKUP(2,1/($B$1:B440=B441),$O$1:O440),0)+$E441,"drip",IFERROR(LOOKUP(2,1/($B$1:B440=B441),$O$1:O440),0)+$E441,"sell",IFERROR(LOOKUP(2,1/($B$1:B440=B441),$O$1:O440),0)-$E441,"return_of_capital",IFERROR(LOOKUP(2,1/($B$1:B440=B441),$O$1:O440),0),"split",$E441,IFERROR(LOOKUP(2,1/($B$1:B440=B441),$O$1:O440),0)))</x:f>
      </x:c>
      <x:c r="P441" t="str">
        <x:f>IF(COUNTA($A441:$D441)=0,"",SWITCH(LOWER($D441),"buy",IFERROR(LOOKUP(2,1/($B$1:B440=B441),$P$1:P440),0)+$M441+$N441,"drip",IFERROR(LOOKUP(2,1/($B$1:B440=B441),$P$1:P440),0)+$M441+$N441,"sell",IFERROR(LOOKUP(2,1/($B$1:B440=B441),$P$1:P440),0)-IFERROR(IFERROR(LOOKUP(2,1/($B$1:B440=B441),$P$1:P440),0)/IFERROR(LOOKUP(2,1/($B$1:B440=B441),$O$1:O440),0)*$E441,0),"return_of_capital",IFERROR(LOOKUP(2,1/($B$1:B440=B441),$P$1:P440),0)-ABS($M441),"split",IFERROR(LOOKUP(2,1/($B$1:B440=B441),$P$1:P440),0),IFERROR(LOOKUP(2,1/($B$1:B440=B441),$P$1:P440),0)))</x:f>
      </x:c>
      <x:c r="Q441" t="str">
        <x:f>IFERROR($P441/$O441,"")</x:f>
      </x:c>
      <x:c r="R441" t="str">
        <x:f>IF(LOWER($D441)="sell",$M441-$N441-IFERROR(IFERROR(LOOKUP(2,1/($B$1:B440=B441),$P$1:P440),0)/IFERROR(LOOKUP(2,1/($B$1:B440=B441),$O$1:O440),0)*$E441,0),"")</x:f>
      </x:c>
      <x:c r="S441" t="str">
        <x:f>IF(COUNTA($A441:$D441)=0,"",IF($B441="","Missing symbol",IF($D441="","Missing action",IF(AND(LOWER($D441)="sell",$E441&gt;IFERROR(LOOKUP(2,1/($B$1:B440=B441),$O$1:O440),0)),"Sold more units than available","OK"))))</x:f>
      </x:c>
    </x:row>
    <x:row r="442">
      <x:c r="M442" t="str">
        <x:f>IF(COUNTA($A442:$D442)=0,"",IF($G442&lt;&gt;"",$G442,IF(AND($E442&lt;&gt;"",$F442&lt;&gt;""),$E442*$F442,""))*IF($J442&lt;&gt;"",$J442,1))</x:f>
      </x:c>
      <x:c r="N442" t="str">
        <x:f>IF(COUNTA($A442:$D442)=0,"",IF($H442&lt;&gt;"",$H442,0)*IF($J442&lt;&gt;"",$J442,1))</x:f>
      </x:c>
      <x:c r="O442" t="str">
        <x:f>IF(COUNTA($A442:$D442)=0,"",SWITCH(LOWER($D442),"buy",IFERROR(LOOKUP(2,1/($B$1:B441=B442),$O$1:O441),0)+$E442,"drip",IFERROR(LOOKUP(2,1/($B$1:B441=B442),$O$1:O441),0)+$E442,"sell",IFERROR(LOOKUP(2,1/($B$1:B441=B442),$O$1:O441),0)-$E442,"return_of_capital",IFERROR(LOOKUP(2,1/($B$1:B441=B442),$O$1:O441),0),"split",$E442,IFERROR(LOOKUP(2,1/($B$1:B441=B442),$O$1:O441),0)))</x:f>
      </x:c>
      <x:c r="P442" t="str">
        <x:f>IF(COUNTA($A442:$D442)=0,"",SWITCH(LOWER($D442),"buy",IFERROR(LOOKUP(2,1/($B$1:B441=B442),$P$1:P441),0)+$M442+$N442,"drip",IFERROR(LOOKUP(2,1/($B$1:B441=B442),$P$1:P441),0)+$M442+$N442,"sell",IFERROR(LOOKUP(2,1/($B$1:B441=B442),$P$1:P441),0)-IFERROR(IFERROR(LOOKUP(2,1/($B$1:B441=B442),$P$1:P441),0)/IFERROR(LOOKUP(2,1/($B$1:B441=B442),$O$1:O441),0)*$E442,0),"return_of_capital",IFERROR(LOOKUP(2,1/($B$1:B441=B442),$P$1:P441),0)-ABS($M442),"split",IFERROR(LOOKUP(2,1/($B$1:B441=B442),$P$1:P441),0),IFERROR(LOOKUP(2,1/($B$1:B441=B442),$P$1:P441),0)))</x:f>
      </x:c>
      <x:c r="Q442" t="str">
        <x:f>IFERROR($P442/$O442,"")</x:f>
      </x:c>
      <x:c r="R442" t="str">
        <x:f>IF(LOWER($D442)="sell",$M442-$N442-IFERROR(IFERROR(LOOKUP(2,1/($B$1:B441=B442),$P$1:P441),0)/IFERROR(LOOKUP(2,1/($B$1:B441=B442),$O$1:O441),0)*$E442,0),"")</x:f>
      </x:c>
      <x:c r="S442" t="str">
        <x:f>IF(COUNTA($A442:$D442)=0,"",IF($B442="","Missing symbol",IF($D442="","Missing action",IF(AND(LOWER($D442)="sell",$E442&gt;IFERROR(LOOKUP(2,1/($B$1:B441=B442),$O$1:O441),0)),"Sold more units than available","OK"))))</x:f>
      </x:c>
    </x:row>
    <x:row r="443">
      <x:c r="M443" t="str">
        <x:f>IF(COUNTA($A443:$D443)=0,"",IF($G443&lt;&gt;"",$G443,IF(AND($E443&lt;&gt;"",$F443&lt;&gt;""),$E443*$F443,""))*IF($J443&lt;&gt;"",$J443,1))</x:f>
      </x:c>
      <x:c r="N443" t="str">
        <x:f>IF(COUNTA($A443:$D443)=0,"",IF($H443&lt;&gt;"",$H443,0)*IF($J443&lt;&gt;"",$J443,1))</x:f>
      </x:c>
      <x:c r="O443" t="str">
        <x:f>IF(COUNTA($A443:$D443)=0,"",SWITCH(LOWER($D443),"buy",IFERROR(LOOKUP(2,1/($B$1:B442=B443),$O$1:O442),0)+$E443,"drip",IFERROR(LOOKUP(2,1/($B$1:B442=B443),$O$1:O442),0)+$E443,"sell",IFERROR(LOOKUP(2,1/($B$1:B442=B443),$O$1:O442),0)-$E443,"return_of_capital",IFERROR(LOOKUP(2,1/($B$1:B442=B443),$O$1:O442),0),"split",$E443,IFERROR(LOOKUP(2,1/($B$1:B442=B443),$O$1:O442),0)))</x:f>
      </x:c>
      <x:c r="P443" t="str">
        <x:f>IF(COUNTA($A443:$D443)=0,"",SWITCH(LOWER($D443),"buy",IFERROR(LOOKUP(2,1/($B$1:B442=B443),$P$1:P442),0)+$M443+$N443,"drip",IFERROR(LOOKUP(2,1/($B$1:B442=B443),$P$1:P442),0)+$M443+$N443,"sell",IFERROR(LOOKUP(2,1/($B$1:B442=B443),$P$1:P442),0)-IFERROR(IFERROR(LOOKUP(2,1/($B$1:B442=B443),$P$1:P442),0)/IFERROR(LOOKUP(2,1/($B$1:B442=B443),$O$1:O442),0)*$E443,0),"return_of_capital",IFERROR(LOOKUP(2,1/($B$1:B442=B443),$P$1:P442),0)-ABS($M443),"split",IFERROR(LOOKUP(2,1/($B$1:B442=B443),$P$1:P442),0),IFERROR(LOOKUP(2,1/($B$1:B442=B443),$P$1:P442),0)))</x:f>
      </x:c>
      <x:c r="Q443" t="str">
        <x:f>IFERROR($P443/$O443,"")</x:f>
      </x:c>
      <x:c r="R443" t="str">
        <x:f>IF(LOWER($D443)="sell",$M443-$N443-IFERROR(IFERROR(LOOKUP(2,1/($B$1:B442=B443),$P$1:P442),0)/IFERROR(LOOKUP(2,1/($B$1:B442=B443),$O$1:O442),0)*$E443,0),"")</x:f>
      </x:c>
      <x:c r="S443" t="str">
        <x:f>IF(COUNTA($A443:$D443)=0,"",IF($B443="","Missing symbol",IF($D443="","Missing action",IF(AND(LOWER($D443)="sell",$E443&gt;IFERROR(LOOKUP(2,1/($B$1:B442=B443),$O$1:O442),0)),"Sold more units than available","OK"))))</x:f>
      </x:c>
    </x:row>
    <x:row r="444">
      <x:c r="M444" t="str">
        <x:f>IF(COUNTA($A444:$D444)=0,"",IF($G444&lt;&gt;"",$G444,IF(AND($E444&lt;&gt;"",$F444&lt;&gt;""),$E444*$F444,""))*IF($J444&lt;&gt;"",$J444,1))</x:f>
      </x:c>
      <x:c r="N444" t="str">
        <x:f>IF(COUNTA($A444:$D444)=0,"",IF($H444&lt;&gt;"",$H444,0)*IF($J444&lt;&gt;"",$J444,1))</x:f>
      </x:c>
      <x:c r="O444" t="str">
        <x:f>IF(COUNTA($A444:$D444)=0,"",SWITCH(LOWER($D444),"buy",IFERROR(LOOKUP(2,1/($B$1:B443=B444),$O$1:O443),0)+$E444,"drip",IFERROR(LOOKUP(2,1/($B$1:B443=B444),$O$1:O443),0)+$E444,"sell",IFERROR(LOOKUP(2,1/($B$1:B443=B444),$O$1:O443),0)-$E444,"return_of_capital",IFERROR(LOOKUP(2,1/($B$1:B443=B444),$O$1:O443),0),"split",$E444,IFERROR(LOOKUP(2,1/($B$1:B443=B444),$O$1:O443),0)))</x:f>
      </x:c>
      <x:c r="P444" t="str">
        <x:f>IF(COUNTA($A444:$D444)=0,"",SWITCH(LOWER($D444),"buy",IFERROR(LOOKUP(2,1/($B$1:B443=B444),$P$1:P443),0)+$M444+$N444,"drip",IFERROR(LOOKUP(2,1/($B$1:B443=B444),$P$1:P443),0)+$M444+$N444,"sell",IFERROR(LOOKUP(2,1/($B$1:B443=B444),$P$1:P443),0)-IFERROR(IFERROR(LOOKUP(2,1/($B$1:B443=B444),$P$1:P443),0)/IFERROR(LOOKUP(2,1/($B$1:B443=B444),$O$1:O443),0)*$E444,0),"return_of_capital",IFERROR(LOOKUP(2,1/($B$1:B443=B444),$P$1:P443),0)-ABS($M444),"split",IFERROR(LOOKUP(2,1/($B$1:B443=B444),$P$1:P443),0),IFERROR(LOOKUP(2,1/($B$1:B443=B444),$P$1:P443),0)))</x:f>
      </x:c>
      <x:c r="Q444" t="str">
        <x:f>IFERROR($P444/$O444,"")</x:f>
      </x:c>
      <x:c r="R444" t="str">
        <x:f>IF(LOWER($D444)="sell",$M444-$N444-IFERROR(IFERROR(LOOKUP(2,1/($B$1:B443=B444),$P$1:P443),0)/IFERROR(LOOKUP(2,1/($B$1:B443=B444),$O$1:O443),0)*$E444,0),"")</x:f>
      </x:c>
      <x:c r="S444" t="str">
        <x:f>IF(COUNTA($A444:$D444)=0,"",IF($B444="","Missing symbol",IF($D444="","Missing action",IF(AND(LOWER($D444)="sell",$E444&gt;IFERROR(LOOKUP(2,1/($B$1:B443=B444),$O$1:O443),0)),"Sold more units than available","OK"))))</x:f>
      </x:c>
    </x:row>
    <x:row r="445">
      <x:c r="M445" t="str">
        <x:f>IF(COUNTA($A445:$D445)=0,"",IF($G445&lt;&gt;"",$G445,IF(AND($E445&lt;&gt;"",$F445&lt;&gt;""),$E445*$F445,""))*IF($J445&lt;&gt;"",$J445,1))</x:f>
      </x:c>
      <x:c r="N445" t="str">
        <x:f>IF(COUNTA($A445:$D445)=0,"",IF($H445&lt;&gt;"",$H445,0)*IF($J445&lt;&gt;"",$J445,1))</x:f>
      </x:c>
      <x:c r="O445" t="str">
        <x:f>IF(COUNTA($A445:$D445)=0,"",SWITCH(LOWER($D445),"buy",IFERROR(LOOKUP(2,1/($B$1:B444=B445),$O$1:O444),0)+$E445,"drip",IFERROR(LOOKUP(2,1/($B$1:B444=B445),$O$1:O444),0)+$E445,"sell",IFERROR(LOOKUP(2,1/($B$1:B444=B445),$O$1:O444),0)-$E445,"return_of_capital",IFERROR(LOOKUP(2,1/($B$1:B444=B445),$O$1:O444),0),"split",$E445,IFERROR(LOOKUP(2,1/($B$1:B444=B445),$O$1:O444),0)))</x:f>
      </x:c>
      <x:c r="P445" t="str">
        <x:f>IF(COUNTA($A445:$D445)=0,"",SWITCH(LOWER($D445),"buy",IFERROR(LOOKUP(2,1/($B$1:B444=B445),$P$1:P444),0)+$M445+$N445,"drip",IFERROR(LOOKUP(2,1/($B$1:B444=B445),$P$1:P444),0)+$M445+$N445,"sell",IFERROR(LOOKUP(2,1/($B$1:B444=B445),$P$1:P444),0)-IFERROR(IFERROR(LOOKUP(2,1/($B$1:B444=B445),$P$1:P444),0)/IFERROR(LOOKUP(2,1/($B$1:B444=B445),$O$1:O444),0)*$E445,0),"return_of_capital",IFERROR(LOOKUP(2,1/($B$1:B444=B445),$P$1:P444),0)-ABS($M445),"split",IFERROR(LOOKUP(2,1/($B$1:B444=B445),$P$1:P444),0),IFERROR(LOOKUP(2,1/($B$1:B444=B445),$P$1:P444),0)))</x:f>
      </x:c>
      <x:c r="Q445" t="str">
        <x:f>IFERROR($P445/$O445,"")</x:f>
      </x:c>
      <x:c r="R445" t="str">
        <x:f>IF(LOWER($D445)="sell",$M445-$N445-IFERROR(IFERROR(LOOKUP(2,1/($B$1:B444=B445),$P$1:P444),0)/IFERROR(LOOKUP(2,1/($B$1:B444=B445),$O$1:O444),0)*$E445,0),"")</x:f>
      </x:c>
      <x:c r="S445" t="str">
        <x:f>IF(COUNTA($A445:$D445)=0,"",IF($B445="","Missing symbol",IF($D445="","Missing action",IF(AND(LOWER($D445)="sell",$E445&gt;IFERROR(LOOKUP(2,1/($B$1:B444=B445),$O$1:O444),0)),"Sold more units than available","OK"))))</x:f>
      </x:c>
    </x:row>
    <x:row r="446">
      <x:c r="M446" t="str">
        <x:f>IF(COUNTA($A446:$D446)=0,"",IF($G446&lt;&gt;"",$G446,IF(AND($E446&lt;&gt;"",$F446&lt;&gt;""),$E446*$F446,""))*IF($J446&lt;&gt;"",$J446,1))</x:f>
      </x:c>
      <x:c r="N446" t="str">
        <x:f>IF(COUNTA($A446:$D446)=0,"",IF($H446&lt;&gt;"",$H446,0)*IF($J446&lt;&gt;"",$J446,1))</x:f>
      </x:c>
      <x:c r="O446" t="str">
        <x:f>IF(COUNTA($A446:$D446)=0,"",SWITCH(LOWER($D446),"buy",IFERROR(LOOKUP(2,1/($B$1:B445=B446),$O$1:O445),0)+$E446,"drip",IFERROR(LOOKUP(2,1/($B$1:B445=B446),$O$1:O445),0)+$E446,"sell",IFERROR(LOOKUP(2,1/($B$1:B445=B446),$O$1:O445),0)-$E446,"return_of_capital",IFERROR(LOOKUP(2,1/($B$1:B445=B446),$O$1:O445),0),"split",$E446,IFERROR(LOOKUP(2,1/($B$1:B445=B446),$O$1:O445),0)))</x:f>
      </x:c>
      <x:c r="P446" t="str">
        <x:f>IF(COUNTA($A446:$D446)=0,"",SWITCH(LOWER($D446),"buy",IFERROR(LOOKUP(2,1/($B$1:B445=B446),$P$1:P445),0)+$M446+$N446,"drip",IFERROR(LOOKUP(2,1/($B$1:B445=B446),$P$1:P445),0)+$M446+$N446,"sell",IFERROR(LOOKUP(2,1/($B$1:B445=B446),$P$1:P445),0)-IFERROR(IFERROR(LOOKUP(2,1/($B$1:B445=B446),$P$1:P445),0)/IFERROR(LOOKUP(2,1/($B$1:B445=B446),$O$1:O445),0)*$E446,0),"return_of_capital",IFERROR(LOOKUP(2,1/($B$1:B445=B446),$P$1:P445),0)-ABS($M446),"split",IFERROR(LOOKUP(2,1/($B$1:B445=B446),$P$1:P445),0),IFERROR(LOOKUP(2,1/($B$1:B445=B446),$P$1:P445),0)))</x:f>
      </x:c>
      <x:c r="Q446" t="str">
        <x:f>IFERROR($P446/$O446,"")</x:f>
      </x:c>
      <x:c r="R446" t="str">
        <x:f>IF(LOWER($D446)="sell",$M446-$N446-IFERROR(IFERROR(LOOKUP(2,1/($B$1:B445=B446),$P$1:P445),0)/IFERROR(LOOKUP(2,1/($B$1:B445=B446),$O$1:O445),0)*$E446,0),"")</x:f>
      </x:c>
      <x:c r="S446" t="str">
        <x:f>IF(COUNTA($A446:$D446)=0,"",IF($B446="","Missing symbol",IF($D446="","Missing action",IF(AND(LOWER($D446)="sell",$E446&gt;IFERROR(LOOKUP(2,1/($B$1:B445=B446),$O$1:O445),0)),"Sold more units than available","OK"))))</x:f>
      </x:c>
    </x:row>
    <x:row r="447">
      <x:c r="M447" t="str">
        <x:f>IF(COUNTA($A447:$D447)=0,"",IF($G447&lt;&gt;"",$G447,IF(AND($E447&lt;&gt;"",$F447&lt;&gt;""),$E447*$F447,""))*IF($J447&lt;&gt;"",$J447,1))</x:f>
      </x:c>
      <x:c r="N447" t="str">
        <x:f>IF(COUNTA($A447:$D447)=0,"",IF($H447&lt;&gt;"",$H447,0)*IF($J447&lt;&gt;"",$J447,1))</x:f>
      </x:c>
      <x:c r="O447" t="str">
        <x:f>IF(COUNTA($A447:$D447)=0,"",SWITCH(LOWER($D447),"buy",IFERROR(LOOKUP(2,1/($B$1:B446=B447),$O$1:O446),0)+$E447,"drip",IFERROR(LOOKUP(2,1/($B$1:B446=B447),$O$1:O446),0)+$E447,"sell",IFERROR(LOOKUP(2,1/($B$1:B446=B447),$O$1:O446),0)-$E447,"return_of_capital",IFERROR(LOOKUP(2,1/($B$1:B446=B447),$O$1:O446),0),"split",$E447,IFERROR(LOOKUP(2,1/($B$1:B446=B447),$O$1:O446),0)))</x:f>
      </x:c>
      <x:c r="P447" t="str">
        <x:f>IF(COUNTA($A447:$D447)=0,"",SWITCH(LOWER($D447),"buy",IFERROR(LOOKUP(2,1/($B$1:B446=B447),$P$1:P446),0)+$M447+$N447,"drip",IFERROR(LOOKUP(2,1/($B$1:B446=B447),$P$1:P446),0)+$M447+$N447,"sell",IFERROR(LOOKUP(2,1/($B$1:B446=B447),$P$1:P446),0)-IFERROR(IFERROR(LOOKUP(2,1/($B$1:B446=B447),$P$1:P446),0)/IFERROR(LOOKUP(2,1/($B$1:B446=B447),$O$1:O446),0)*$E447,0),"return_of_capital",IFERROR(LOOKUP(2,1/($B$1:B446=B447),$P$1:P446),0)-ABS($M447),"split",IFERROR(LOOKUP(2,1/($B$1:B446=B447),$P$1:P446),0),IFERROR(LOOKUP(2,1/($B$1:B446=B447),$P$1:P446),0)))</x:f>
      </x:c>
      <x:c r="Q447" t="str">
        <x:f>IFERROR($P447/$O447,"")</x:f>
      </x:c>
      <x:c r="R447" t="str">
        <x:f>IF(LOWER($D447)="sell",$M447-$N447-IFERROR(IFERROR(LOOKUP(2,1/($B$1:B446=B447),$P$1:P446),0)/IFERROR(LOOKUP(2,1/($B$1:B446=B447),$O$1:O446),0)*$E447,0),"")</x:f>
      </x:c>
      <x:c r="S447" t="str">
        <x:f>IF(COUNTA($A447:$D447)=0,"",IF($B447="","Missing symbol",IF($D447="","Missing action",IF(AND(LOWER($D447)="sell",$E447&gt;IFERROR(LOOKUP(2,1/($B$1:B446=B447),$O$1:O446),0)),"Sold more units than available","OK"))))</x:f>
      </x:c>
    </x:row>
    <x:row r="448">
      <x:c r="M448" t="str">
        <x:f>IF(COUNTA($A448:$D448)=0,"",IF($G448&lt;&gt;"",$G448,IF(AND($E448&lt;&gt;"",$F448&lt;&gt;""),$E448*$F448,""))*IF($J448&lt;&gt;"",$J448,1))</x:f>
      </x:c>
      <x:c r="N448" t="str">
        <x:f>IF(COUNTA($A448:$D448)=0,"",IF($H448&lt;&gt;"",$H448,0)*IF($J448&lt;&gt;"",$J448,1))</x:f>
      </x:c>
      <x:c r="O448" t="str">
        <x:f>IF(COUNTA($A448:$D448)=0,"",SWITCH(LOWER($D448),"buy",IFERROR(LOOKUP(2,1/($B$1:B447=B448),$O$1:O447),0)+$E448,"drip",IFERROR(LOOKUP(2,1/($B$1:B447=B448),$O$1:O447),0)+$E448,"sell",IFERROR(LOOKUP(2,1/($B$1:B447=B448),$O$1:O447),0)-$E448,"return_of_capital",IFERROR(LOOKUP(2,1/($B$1:B447=B448),$O$1:O447),0),"split",$E448,IFERROR(LOOKUP(2,1/($B$1:B447=B448),$O$1:O447),0)))</x:f>
      </x:c>
      <x:c r="P448" t="str">
        <x:f>IF(COUNTA($A448:$D448)=0,"",SWITCH(LOWER($D448),"buy",IFERROR(LOOKUP(2,1/($B$1:B447=B448),$P$1:P447),0)+$M448+$N448,"drip",IFERROR(LOOKUP(2,1/($B$1:B447=B448),$P$1:P447),0)+$M448+$N448,"sell",IFERROR(LOOKUP(2,1/($B$1:B447=B448),$P$1:P447),0)-IFERROR(IFERROR(LOOKUP(2,1/($B$1:B447=B448),$P$1:P447),0)/IFERROR(LOOKUP(2,1/($B$1:B447=B448),$O$1:O447),0)*$E448,0),"return_of_capital",IFERROR(LOOKUP(2,1/($B$1:B447=B448),$P$1:P447),0)-ABS($M448),"split",IFERROR(LOOKUP(2,1/($B$1:B447=B448),$P$1:P447),0),IFERROR(LOOKUP(2,1/($B$1:B447=B448),$P$1:P447),0)))</x:f>
      </x:c>
      <x:c r="Q448" t="str">
        <x:f>IFERROR($P448/$O448,"")</x:f>
      </x:c>
      <x:c r="R448" t="str">
        <x:f>IF(LOWER($D448)="sell",$M448-$N448-IFERROR(IFERROR(LOOKUP(2,1/($B$1:B447=B448),$P$1:P447),0)/IFERROR(LOOKUP(2,1/($B$1:B447=B448),$O$1:O447),0)*$E448,0),"")</x:f>
      </x:c>
      <x:c r="S448" t="str">
        <x:f>IF(COUNTA($A448:$D448)=0,"",IF($B448="","Missing symbol",IF($D448="","Missing action",IF(AND(LOWER($D448)="sell",$E448&gt;IFERROR(LOOKUP(2,1/($B$1:B447=B448),$O$1:O447),0)),"Sold more units than available","OK"))))</x:f>
      </x:c>
    </x:row>
    <x:row r="449">
      <x:c r="M449" t="str">
        <x:f>IF(COUNTA($A449:$D449)=0,"",IF($G449&lt;&gt;"",$G449,IF(AND($E449&lt;&gt;"",$F449&lt;&gt;""),$E449*$F449,""))*IF($J449&lt;&gt;"",$J449,1))</x:f>
      </x:c>
      <x:c r="N449" t="str">
        <x:f>IF(COUNTA($A449:$D449)=0,"",IF($H449&lt;&gt;"",$H449,0)*IF($J449&lt;&gt;"",$J449,1))</x:f>
      </x:c>
      <x:c r="O449" t="str">
        <x:f>IF(COUNTA($A449:$D449)=0,"",SWITCH(LOWER($D449),"buy",IFERROR(LOOKUP(2,1/($B$1:B448=B449),$O$1:O448),0)+$E449,"drip",IFERROR(LOOKUP(2,1/($B$1:B448=B449),$O$1:O448),0)+$E449,"sell",IFERROR(LOOKUP(2,1/($B$1:B448=B449),$O$1:O448),0)-$E449,"return_of_capital",IFERROR(LOOKUP(2,1/($B$1:B448=B449),$O$1:O448),0),"split",$E449,IFERROR(LOOKUP(2,1/($B$1:B448=B449),$O$1:O448),0)))</x:f>
      </x:c>
      <x:c r="P449" t="str">
        <x:f>IF(COUNTA($A449:$D449)=0,"",SWITCH(LOWER($D449),"buy",IFERROR(LOOKUP(2,1/($B$1:B448=B449),$P$1:P448),0)+$M449+$N449,"drip",IFERROR(LOOKUP(2,1/($B$1:B448=B449),$P$1:P448),0)+$M449+$N449,"sell",IFERROR(LOOKUP(2,1/($B$1:B448=B449),$P$1:P448),0)-IFERROR(IFERROR(LOOKUP(2,1/($B$1:B448=B449),$P$1:P448),0)/IFERROR(LOOKUP(2,1/($B$1:B448=B449),$O$1:O448),0)*$E449,0),"return_of_capital",IFERROR(LOOKUP(2,1/($B$1:B448=B449),$P$1:P448),0)-ABS($M449),"split",IFERROR(LOOKUP(2,1/($B$1:B448=B449),$P$1:P448),0),IFERROR(LOOKUP(2,1/($B$1:B448=B449),$P$1:P448),0)))</x:f>
      </x:c>
      <x:c r="Q449" t="str">
        <x:f>IFERROR($P449/$O449,"")</x:f>
      </x:c>
      <x:c r="R449" t="str">
        <x:f>IF(LOWER($D449)="sell",$M449-$N449-IFERROR(IFERROR(LOOKUP(2,1/($B$1:B448=B449),$P$1:P448),0)/IFERROR(LOOKUP(2,1/($B$1:B448=B449),$O$1:O448),0)*$E449,0),"")</x:f>
      </x:c>
      <x:c r="S449" t="str">
        <x:f>IF(COUNTA($A449:$D449)=0,"",IF($B449="","Missing symbol",IF($D449="","Missing action",IF(AND(LOWER($D449)="sell",$E449&gt;IFERROR(LOOKUP(2,1/($B$1:B448=B449),$O$1:O448),0)),"Sold more units than available","OK"))))</x:f>
      </x:c>
    </x:row>
    <x:row r="450">
      <x:c r="M450" t="str">
        <x:f>IF(COUNTA($A450:$D450)=0,"",IF($G450&lt;&gt;"",$G450,IF(AND($E450&lt;&gt;"",$F450&lt;&gt;""),$E450*$F450,""))*IF($J450&lt;&gt;"",$J450,1))</x:f>
      </x:c>
      <x:c r="N450" t="str">
        <x:f>IF(COUNTA($A450:$D450)=0,"",IF($H450&lt;&gt;"",$H450,0)*IF($J450&lt;&gt;"",$J450,1))</x:f>
      </x:c>
      <x:c r="O450" t="str">
        <x:f>IF(COUNTA($A450:$D450)=0,"",SWITCH(LOWER($D450),"buy",IFERROR(LOOKUP(2,1/($B$1:B449=B450),$O$1:O449),0)+$E450,"drip",IFERROR(LOOKUP(2,1/($B$1:B449=B450),$O$1:O449),0)+$E450,"sell",IFERROR(LOOKUP(2,1/($B$1:B449=B450),$O$1:O449),0)-$E450,"return_of_capital",IFERROR(LOOKUP(2,1/($B$1:B449=B450),$O$1:O449),0),"split",$E450,IFERROR(LOOKUP(2,1/($B$1:B449=B450),$O$1:O449),0)))</x:f>
      </x:c>
      <x:c r="P450" t="str">
        <x:f>IF(COUNTA($A450:$D450)=0,"",SWITCH(LOWER($D450),"buy",IFERROR(LOOKUP(2,1/($B$1:B449=B450),$P$1:P449),0)+$M450+$N450,"drip",IFERROR(LOOKUP(2,1/($B$1:B449=B450),$P$1:P449),0)+$M450+$N450,"sell",IFERROR(LOOKUP(2,1/($B$1:B449=B450),$P$1:P449),0)-IFERROR(IFERROR(LOOKUP(2,1/($B$1:B449=B450),$P$1:P449),0)/IFERROR(LOOKUP(2,1/($B$1:B449=B450),$O$1:O449),0)*$E450,0),"return_of_capital",IFERROR(LOOKUP(2,1/($B$1:B449=B450),$P$1:P449),0)-ABS($M450),"split",IFERROR(LOOKUP(2,1/($B$1:B449=B450),$P$1:P449),0),IFERROR(LOOKUP(2,1/($B$1:B449=B450),$P$1:P449),0)))</x:f>
      </x:c>
      <x:c r="Q450" t="str">
        <x:f>IFERROR($P450/$O450,"")</x:f>
      </x:c>
      <x:c r="R450" t="str">
        <x:f>IF(LOWER($D450)="sell",$M450-$N450-IFERROR(IFERROR(LOOKUP(2,1/($B$1:B449=B450),$P$1:P449),0)/IFERROR(LOOKUP(2,1/($B$1:B449=B450),$O$1:O449),0)*$E450,0),"")</x:f>
      </x:c>
      <x:c r="S450" t="str">
        <x:f>IF(COUNTA($A450:$D450)=0,"",IF($B450="","Missing symbol",IF($D450="","Missing action",IF(AND(LOWER($D450)="sell",$E450&gt;IFERROR(LOOKUP(2,1/($B$1:B449=B450),$O$1:O449),0)),"Sold more units than available","OK"))))</x:f>
      </x:c>
    </x:row>
    <x:row r="451">
      <x:c r="M451" t="str">
        <x:f>IF(COUNTA($A451:$D451)=0,"",IF($G451&lt;&gt;"",$G451,IF(AND($E451&lt;&gt;"",$F451&lt;&gt;""),$E451*$F451,""))*IF($J451&lt;&gt;"",$J451,1))</x:f>
      </x:c>
      <x:c r="N451" t="str">
        <x:f>IF(COUNTA($A451:$D451)=0,"",IF($H451&lt;&gt;"",$H451,0)*IF($J451&lt;&gt;"",$J451,1))</x:f>
      </x:c>
      <x:c r="O451" t="str">
        <x:f>IF(COUNTA($A451:$D451)=0,"",SWITCH(LOWER($D451),"buy",IFERROR(LOOKUP(2,1/($B$1:B450=B451),$O$1:O450),0)+$E451,"drip",IFERROR(LOOKUP(2,1/($B$1:B450=B451),$O$1:O450),0)+$E451,"sell",IFERROR(LOOKUP(2,1/($B$1:B450=B451),$O$1:O450),0)-$E451,"return_of_capital",IFERROR(LOOKUP(2,1/($B$1:B450=B451),$O$1:O450),0),"split",$E451,IFERROR(LOOKUP(2,1/($B$1:B450=B451),$O$1:O450),0)))</x:f>
      </x:c>
      <x:c r="P451" t="str">
        <x:f>IF(COUNTA($A451:$D451)=0,"",SWITCH(LOWER($D451),"buy",IFERROR(LOOKUP(2,1/($B$1:B450=B451),$P$1:P450),0)+$M451+$N451,"drip",IFERROR(LOOKUP(2,1/($B$1:B450=B451),$P$1:P450),0)+$M451+$N451,"sell",IFERROR(LOOKUP(2,1/($B$1:B450=B451),$P$1:P450),0)-IFERROR(IFERROR(LOOKUP(2,1/($B$1:B450=B451),$P$1:P450),0)/IFERROR(LOOKUP(2,1/($B$1:B450=B451),$O$1:O450),0)*$E451,0),"return_of_capital",IFERROR(LOOKUP(2,1/($B$1:B450=B451),$P$1:P450),0)-ABS($M451),"split",IFERROR(LOOKUP(2,1/($B$1:B450=B451),$P$1:P450),0),IFERROR(LOOKUP(2,1/($B$1:B450=B451),$P$1:P450),0)))</x:f>
      </x:c>
      <x:c r="Q451" t="str">
        <x:f>IFERROR($P451/$O451,"")</x:f>
      </x:c>
      <x:c r="R451" t="str">
        <x:f>IF(LOWER($D451)="sell",$M451-$N451-IFERROR(IFERROR(LOOKUP(2,1/($B$1:B450=B451),$P$1:P450),0)/IFERROR(LOOKUP(2,1/($B$1:B450=B451),$O$1:O450),0)*$E451,0),"")</x:f>
      </x:c>
      <x:c r="S451" t="str">
        <x:f>IF(COUNTA($A451:$D451)=0,"",IF($B451="","Missing symbol",IF($D451="","Missing action",IF(AND(LOWER($D451)="sell",$E451&gt;IFERROR(LOOKUP(2,1/($B$1:B450=B451),$O$1:O450),0)),"Sold more units than available","OK"))))</x:f>
      </x:c>
    </x:row>
    <x:row r="452">
      <x:c r="M452" t="str">
        <x:f>IF(COUNTA($A452:$D452)=0,"",IF($G452&lt;&gt;"",$G452,IF(AND($E452&lt;&gt;"",$F452&lt;&gt;""),$E452*$F452,""))*IF($J452&lt;&gt;"",$J452,1))</x:f>
      </x:c>
      <x:c r="N452" t="str">
        <x:f>IF(COUNTA($A452:$D452)=0,"",IF($H452&lt;&gt;"",$H452,0)*IF($J452&lt;&gt;"",$J452,1))</x:f>
      </x:c>
      <x:c r="O452" t="str">
        <x:f>IF(COUNTA($A452:$D452)=0,"",SWITCH(LOWER($D452),"buy",IFERROR(LOOKUP(2,1/($B$1:B451=B452),$O$1:O451),0)+$E452,"drip",IFERROR(LOOKUP(2,1/($B$1:B451=B452),$O$1:O451),0)+$E452,"sell",IFERROR(LOOKUP(2,1/($B$1:B451=B452),$O$1:O451),0)-$E452,"return_of_capital",IFERROR(LOOKUP(2,1/($B$1:B451=B452),$O$1:O451),0),"split",$E452,IFERROR(LOOKUP(2,1/($B$1:B451=B452),$O$1:O451),0)))</x:f>
      </x:c>
      <x:c r="P452" t="str">
        <x:f>IF(COUNTA($A452:$D452)=0,"",SWITCH(LOWER($D452),"buy",IFERROR(LOOKUP(2,1/($B$1:B451=B452),$P$1:P451),0)+$M452+$N452,"drip",IFERROR(LOOKUP(2,1/($B$1:B451=B452),$P$1:P451),0)+$M452+$N452,"sell",IFERROR(LOOKUP(2,1/($B$1:B451=B452),$P$1:P451),0)-IFERROR(IFERROR(LOOKUP(2,1/($B$1:B451=B452),$P$1:P451),0)/IFERROR(LOOKUP(2,1/($B$1:B451=B452),$O$1:O451),0)*$E452,0),"return_of_capital",IFERROR(LOOKUP(2,1/($B$1:B451=B452),$P$1:P451),0)-ABS($M452),"split",IFERROR(LOOKUP(2,1/($B$1:B451=B452),$P$1:P451),0),IFERROR(LOOKUP(2,1/($B$1:B451=B452),$P$1:P451),0)))</x:f>
      </x:c>
      <x:c r="Q452" t="str">
        <x:f>IFERROR($P452/$O452,"")</x:f>
      </x:c>
      <x:c r="R452" t="str">
        <x:f>IF(LOWER($D452)="sell",$M452-$N452-IFERROR(IFERROR(LOOKUP(2,1/($B$1:B451=B452),$P$1:P451),0)/IFERROR(LOOKUP(2,1/($B$1:B451=B452),$O$1:O451),0)*$E452,0),"")</x:f>
      </x:c>
      <x:c r="S452" t="str">
        <x:f>IF(COUNTA($A452:$D452)=0,"",IF($B452="","Missing symbol",IF($D452="","Missing action",IF(AND(LOWER($D452)="sell",$E452&gt;IFERROR(LOOKUP(2,1/($B$1:B451=B452),$O$1:O451),0)),"Sold more units than available","OK"))))</x:f>
      </x:c>
    </x:row>
    <x:row r="453">
      <x:c r="M453" t="str">
        <x:f>IF(COUNTA($A453:$D453)=0,"",IF($G453&lt;&gt;"",$G453,IF(AND($E453&lt;&gt;"",$F453&lt;&gt;""),$E453*$F453,""))*IF($J453&lt;&gt;"",$J453,1))</x:f>
      </x:c>
      <x:c r="N453" t="str">
        <x:f>IF(COUNTA($A453:$D453)=0,"",IF($H453&lt;&gt;"",$H453,0)*IF($J453&lt;&gt;"",$J453,1))</x:f>
      </x:c>
      <x:c r="O453" t="str">
        <x:f>IF(COUNTA($A453:$D453)=0,"",SWITCH(LOWER($D453),"buy",IFERROR(LOOKUP(2,1/($B$1:B452=B453),$O$1:O452),0)+$E453,"drip",IFERROR(LOOKUP(2,1/($B$1:B452=B453),$O$1:O452),0)+$E453,"sell",IFERROR(LOOKUP(2,1/($B$1:B452=B453),$O$1:O452),0)-$E453,"return_of_capital",IFERROR(LOOKUP(2,1/($B$1:B452=B453),$O$1:O452),0),"split",$E453,IFERROR(LOOKUP(2,1/($B$1:B452=B453),$O$1:O452),0)))</x:f>
      </x:c>
      <x:c r="P453" t="str">
        <x:f>IF(COUNTA($A453:$D453)=0,"",SWITCH(LOWER($D453),"buy",IFERROR(LOOKUP(2,1/($B$1:B452=B453),$P$1:P452),0)+$M453+$N453,"drip",IFERROR(LOOKUP(2,1/($B$1:B452=B453),$P$1:P452),0)+$M453+$N453,"sell",IFERROR(LOOKUP(2,1/($B$1:B452=B453),$P$1:P452),0)-IFERROR(IFERROR(LOOKUP(2,1/($B$1:B452=B453),$P$1:P452),0)/IFERROR(LOOKUP(2,1/($B$1:B452=B453),$O$1:O452),0)*$E453,0),"return_of_capital",IFERROR(LOOKUP(2,1/($B$1:B452=B453),$P$1:P452),0)-ABS($M453),"split",IFERROR(LOOKUP(2,1/($B$1:B452=B453),$P$1:P452),0),IFERROR(LOOKUP(2,1/($B$1:B452=B453),$P$1:P452),0)))</x:f>
      </x:c>
      <x:c r="Q453" t="str">
        <x:f>IFERROR($P453/$O453,"")</x:f>
      </x:c>
      <x:c r="R453" t="str">
        <x:f>IF(LOWER($D453)="sell",$M453-$N453-IFERROR(IFERROR(LOOKUP(2,1/($B$1:B452=B453),$P$1:P452),0)/IFERROR(LOOKUP(2,1/($B$1:B452=B453),$O$1:O452),0)*$E453,0),"")</x:f>
      </x:c>
      <x:c r="S453" t="str">
        <x:f>IF(COUNTA($A453:$D453)=0,"",IF($B453="","Missing symbol",IF($D453="","Missing action",IF(AND(LOWER($D453)="sell",$E453&gt;IFERROR(LOOKUP(2,1/($B$1:B452=B453),$O$1:O452),0)),"Sold more units than available","OK"))))</x:f>
      </x:c>
    </x:row>
    <x:row r="454">
      <x:c r="M454" t="str">
        <x:f>IF(COUNTA($A454:$D454)=0,"",IF($G454&lt;&gt;"",$G454,IF(AND($E454&lt;&gt;"",$F454&lt;&gt;""),$E454*$F454,""))*IF($J454&lt;&gt;"",$J454,1))</x:f>
      </x:c>
      <x:c r="N454" t="str">
        <x:f>IF(COUNTA($A454:$D454)=0,"",IF($H454&lt;&gt;"",$H454,0)*IF($J454&lt;&gt;"",$J454,1))</x:f>
      </x:c>
      <x:c r="O454" t="str">
        <x:f>IF(COUNTA($A454:$D454)=0,"",SWITCH(LOWER($D454),"buy",IFERROR(LOOKUP(2,1/($B$1:B453=B454),$O$1:O453),0)+$E454,"drip",IFERROR(LOOKUP(2,1/($B$1:B453=B454),$O$1:O453),0)+$E454,"sell",IFERROR(LOOKUP(2,1/($B$1:B453=B454),$O$1:O453),0)-$E454,"return_of_capital",IFERROR(LOOKUP(2,1/($B$1:B453=B454),$O$1:O453),0),"split",$E454,IFERROR(LOOKUP(2,1/($B$1:B453=B454),$O$1:O453),0)))</x:f>
      </x:c>
      <x:c r="P454" t="str">
        <x:f>IF(COUNTA($A454:$D454)=0,"",SWITCH(LOWER($D454),"buy",IFERROR(LOOKUP(2,1/($B$1:B453=B454),$P$1:P453),0)+$M454+$N454,"drip",IFERROR(LOOKUP(2,1/($B$1:B453=B454),$P$1:P453),0)+$M454+$N454,"sell",IFERROR(LOOKUP(2,1/($B$1:B453=B454),$P$1:P453),0)-IFERROR(IFERROR(LOOKUP(2,1/($B$1:B453=B454),$P$1:P453),0)/IFERROR(LOOKUP(2,1/($B$1:B453=B454),$O$1:O453),0)*$E454,0),"return_of_capital",IFERROR(LOOKUP(2,1/($B$1:B453=B454),$P$1:P453),0)-ABS($M454),"split",IFERROR(LOOKUP(2,1/($B$1:B453=B454),$P$1:P453),0),IFERROR(LOOKUP(2,1/($B$1:B453=B454),$P$1:P453),0)))</x:f>
      </x:c>
      <x:c r="Q454" t="str">
        <x:f>IFERROR($P454/$O454,"")</x:f>
      </x:c>
      <x:c r="R454" t="str">
        <x:f>IF(LOWER($D454)="sell",$M454-$N454-IFERROR(IFERROR(LOOKUP(2,1/($B$1:B453=B454),$P$1:P453),0)/IFERROR(LOOKUP(2,1/($B$1:B453=B454),$O$1:O453),0)*$E454,0),"")</x:f>
      </x:c>
      <x:c r="S454" t="str">
        <x:f>IF(COUNTA($A454:$D454)=0,"",IF($B454="","Missing symbol",IF($D454="","Missing action",IF(AND(LOWER($D454)="sell",$E454&gt;IFERROR(LOOKUP(2,1/($B$1:B453=B454),$O$1:O453),0)),"Sold more units than available","OK"))))</x:f>
      </x:c>
    </x:row>
    <x:row r="455">
      <x:c r="M455" t="str">
        <x:f>IF(COUNTA($A455:$D455)=0,"",IF($G455&lt;&gt;"",$G455,IF(AND($E455&lt;&gt;"",$F455&lt;&gt;""),$E455*$F455,""))*IF($J455&lt;&gt;"",$J455,1))</x:f>
      </x:c>
      <x:c r="N455" t="str">
        <x:f>IF(COUNTA($A455:$D455)=0,"",IF($H455&lt;&gt;"",$H455,0)*IF($J455&lt;&gt;"",$J455,1))</x:f>
      </x:c>
      <x:c r="O455" t="str">
        <x:f>IF(COUNTA($A455:$D455)=0,"",SWITCH(LOWER($D455),"buy",IFERROR(LOOKUP(2,1/($B$1:B454=B455),$O$1:O454),0)+$E455,"drip",IFERROR(LOOKUP(2,1/($B$1:B454=B455),$O$1:O454),0)+$E455,"sell",IFERROR(LOOKUP(2,1/($B$1:B454=B455),$O$1:O454),0)-$E455,"return_of_capital",IFERROR(LOOKUP(2,1/($B$1:B454=B455),$O$1:O454),0),"split",$E455,IFERROR(LOOKUP(2,1/($B$1:B454=B455),$O$1:O454),0)))</x:f>
      </x:c>
      <x:c r="P455" t="str">
        <x:f>IF(COUNTA($A455:$D455)=0,"",SWITCH(LOWER($D455),"buy",IFERROR(LOOKUP(2,1/($B$1:B454=B455),$P$1:P454),0)+$M455+$N455,"drip",IFERROR(LOOKUP(2,1/($B$1:B454=B455),$P$1:P454),0)+$M455+$N455,"sell",IFERROR(LOOKUP(2,1/($B$1:B454=B455),$P$1:P454),0)-IFERROR(IFERROR(LOOKUP(2,1/($B$1:B454=B455),$P$1:P454),0)/IFERROR(LOOKUP(2,1/($B$1:B454=B455),$O$1:O454),0)*$E455,0),"return_of_capital",IFERROR(LOOKUP(2,1/($B$1:B454=B455),$P$1:P454),0)-ABS($M455),"split",IFERROR(LOOKUP(2,1/($B$1:B454=B455),$P$1:P454),0),IFERROR(LOOKUP(2,1/($B$1:B454=B455),$P$1:P454),0)))</x:f>
      </x:c>
      <x:c r="Q455" t="str">
        <x:f>IFERROR($P455/$O455,"")</x:f>
      </x:c>
      <x:c r="R455" t="str">
        <x:f>IF(LOWER($D455)="sell",$M455-$N455-IFERROR(IFERROR(LOOKUP(2,1/($B$1:B454=B455),$P$1:P454),0)/IFERROR(LOOKUP(2,1/($B$1:B454=B455),$O$1:O454),0)*$E455,0),"")</x:f>
      </x:c>
      <x:c r="S455" t="str">
        <x:f>IF(COUNTA($A455:$D455)=0,"",IF($B455="","Missing symbol",IF($D455="","Missing action",IF(AND(LOWER($D455)="sell",$E455&gt;IFERROR(LOOKUP(2,1/($B$1:B454=B455),$O$1:O454),0)),"Sold more units than available","OK"))))</x:f>
      </x:c>
    </x:row>
    <x:row r="456">
      <x:c r="M456" t="str">
        <x:f>IF(COUNTA($A456:$D456)=0,"",IF($G456&lt;&gt;"",$G456,IF(AND($E456&lt;&gt;"",$F456&lt;&gt;""),$E456*$F456,""))*IF($J456&lt;&gt;"",$J456,1))</x:f>
      </x:c>
      <x:c r="N456" t="str">
        <x:f>IF(COUNTA($A456:$D456)=0,"",IF($H456&lt;&gt;"",$H456,0)*IF($J456&lt;&gt;"",$J456,1))</x:f>
      </x:c>
      <x:c r="O456" t="str">
        <x:f>IF(COUNTA($A456:$D456)=0,"",SWITCH(LOWER($D456),"buy",IFERROR(LOOKUP(2,1/($B$1:B455=B456),$O$1:O455),0)+$E456,"drip",IFERROR(LOOKUP(2,1/($B$1:B455=B456),$O$1:O455),0)+$E456,"sell",IFERROR(LOOKUP(2,1/($B$1:B455=B456),$O$1:O455),0)-$E456,"return_of_capital",IFERROR(LOOKUP(2,1/($B$1:B455=B456),$O$1:O455),0),"split",$E456,IFERROR(LOOKUP(2,1/($B$1:B455=B456),$O$1:O455),0)))</x:f>
      </x:c>
      <x:c r="P456" t="str">
        <x:f>IF(COUNTA($A456:$D456)=0,"",SWITCH(LOWER($D456),"buy",IFERROR(LOOKUP(2,1/($B$1:B455=B456),$P$1:P455),0)+$M456+$N456,"drip",IFERROR(LOOKUP(2,1/($B$1:B455=B456),$P$1:P455),0)+$M456+$N456,"sell",IFERROR(LOOKUP(2,1/($B$1:B455=B456),$P$1:P455),0)-IFERROR(IFERROR(LOOKUP(2,1/($B$1:B455=B456),$P$1:P455),0)/IFERROR(LOOKUP(2,1/($B$1:B455=B456),$O$1:O455),0)*$E456,0),"return_of_capital",IFERROR(LOOKUP(2,1/($B$1:B455=B456),$P$1:P455),0)-ABS($M456),"split",IFERROR(LOOKUP(2,1/($B$1:B455=B456),$P$1:P455),0),IFERROR(LOOKUP(2,1/($B$1:B455=B456),$P$1:P455),0)))</x:f>
      </x:c>
      <x:c r="Q456" t="str">
        <x:f>IFERROR($P456/$O456,"")</x:f>
      </x:c>
      <x:c r="R456" t="str">
        <x:f>IF(LOWER($D456)="sell",$M456-$N456-IFERROR(IFERROR(LOOKUP(2,1/($B$1:B455=B456),$P$1:P455),0)/IFERROR(LOOKUP(2,1/($B$1:B455=B456),$O$1:O455),0)*$E456,0),"")</x:f>
      </x:c>
      <x:c r="S456" t="str">
        <x:f>IF(COUNTA($A456:$D456)=0,"",IF($B456="","Missing symbol",IF($D456="","Missing action",IF(AND(LOWER($D456)="sell",$E456&gt;IFERROR(LOOKUP(2,1/($B$1:B455=B456),$O$1:O455),0)),"Sold more units than available","OK"))))</x:f>
      </x:c>
    </x:row>
    <x:row r="457">
      <x:c r="M457" t="str">
        <x:f>IF(COUNTA($A457:$D457)=0,"",IF($G457&lt;&gt;"",$G457,IF(AND($E457&lt;&gt;"",$F457&lt;&gt;""),$E457*$F457,""))*IF($J457&lt;&gt;"",$J457,1))</x:f>
      </x:c>
      <x:c r="N457" t="str">
        <x:f>IF(COUNTA($A457:$D457)=0,"",IF($H457&lt;&gt;"",$H457,0)*IF($J457&lt;&gt;"",$J457,1))</x:f>
      </x:c>
      <x:c r="O457" t="str">
        <x:f>IF(COUNTA($A457:$D457)=0,"",SWITCH(LOWER($D457),"buy",IFERROR(LOOKUP(2,1/($B$1:B456=B457),$O$1:O456),0)+$E457,"drip",IFERROR(LOOKUP(2,1/($B$1:B456=B457),$O$1:O456),0)+$E457,"sell",IFERROR(LOOKUP(2,1/($B$1:B456=B457),$O$1:O456),0)-$E457,"return_of_capital",IFERROR(LOOKUP(2,1/($B$1:B456=B457),$O$1:O456),0),"split",$E457,IFERROR(LOOKUP(2,1/($B$1:B456=B457),$O$1:O456),0)))</x:f>
      </x:c>
      <x:c r="P457" t="str">
        <x:f>IF(COUNTA($A457:$D457)=0,"",SWITCH(LOWER($D457),"buy",IFERROR(LOOKUP(2,1/($B$1:B456=B457),$P$1:P456),0)+$M457+$N457,"drip",IFERROR(LOOKUP(2,1/($B$1:B456=B457),$P$1:P456),0)+$M457+$N457,"sell",IFERROR(LOOKUP(2,1/($B$1:B456=B457),$P$1:P456),0)-IFERROR(IFERROR(LOOKUP(2,1/($B$1:B456=B457),$P$1:P456),0)/IFERROR(LOOKUP(2,1/($B$1:B456=B457),$O$1:O456),0)*$E457,0),"return_of_capital",IFERROR(LOOKUP(2,1/($B$1:B456=B457),$P$1:P456),0)-ABS($M457),"split",IFERROR(LOOKUP(2,1/($B$1:B456=B457),$P$1:P456),0),IFERROR(LOOKUP(2,1/($B$1:B456=B457),$P$1:P456),0)))</x:f>
      </x:c>
      <x:c r="Q457" t="str">
        <x:f>IFERROR($P457/$O457,"")</x:f>
      </x:c>
      <x:c r="R457" t="str">
        <x:f>IF(LOWER($D457)="sell",$M457-$N457-IFERROR(IFERROR(LOOKUP(2,1/($B$1:B456=B457),$P$1:P456),0)/IFERROR(LOOKUP(2,1/($B$1:B456=B457),$O$1:O456),0)*$E457,0),"")</x:f>
      </x:c>
      <x:c r="S457" t="str">
        <x:f>IF(COUNTA($A457:$D457)=0,"",IF($B457="","Missing symbol",IF($D457="","Missing action",IF(AND(LOWER($D457)="sell",$E457&gt;IFERROR(LOOKUP(2,1/($B$1:B456=B457),$O$1:O456),0)),"Sold more units than available","OK"))))</x:f>
      </x:c>
    </x:row>
    <x:row r="458">
      <x:c r="M458" t="str">
        <x:f>IF(COUNTA($A458:$D458)=0,"",IF($G458&lt;&gt;"",$G458,IF(AND($E458&lt;&gt;"",$F458&lt;&gt;""),$E458*$F458,""))*IF($J458&lt;&gt;"",$J458,1))</x:f>
      </x:c>
      <x:c r="N458" t="str">
        <x:f>IF(COUNTA($A458:$D458)=0,"",IF($H458&lt;&gt;"",$H458,0)*IF($J458&lt;&gt;"",$J458,1))</x:f>
      </x:c>
      <x:c r="O458" t="str">
        <x:f>IF(COUNTA($A458:$D458)=0,"",SWITCH(LOWER($D458),"buy",IFERROR(LOOKUP(2,1/($B$1:B457=B458),$O$1:O457),0)+$E458,"drip",IFERROR(LOOKUP(2,1/($B$1:B457=B458),$O$1:O457),0)+$E458,"sell",IFERROR(LOOKUP(2,1/($B$1:B457=B458),$O$1:O457),0)-$E458,"return_of_capital",IFERROR(LOOKUP(2,1/($B$1:B457=B458),$O$1:O457),0),"split",$E458,IFERROR(LOOKUP(2,1/($B$1:B457=B458),$O$1:O457),0)))</x:f>
      </x:c>
      <x:c r="P458" t="str">
        <x:f>IF(COUNTA($A458:$D458)=0,"",SWITCH(LOWER($D458),"buy",IFERROR(LOOKUP(2,1/($B$1:B457=B458),$P$1:P457),0)+$M458+$N458,"drip",IFERROR(LOOKUP(2,1/($B$1:B457=B458),$P$1:P457),0)+$M458+$N458,"sell",IFERROR(LOOKUP(2,1/($B$1:B457=B458),$P$1:P457),0)-IFERROR(IFERROR(LOOKUP(2,1/($B$1:B457=B458),$P$1:P457),0)/IFERROR(LOOKUP(2,1/($B$1:B457=B458),$O$1:O457),0)*$E458,0),"return_of_capital",IFERROR(LOOKUP(2,1/($B$1:B457=B458),$P$1:P457),0)-ABS($M458),"split",IFERROR(LOOKUP(2,1/($B$1:B457=B458),$P$1:P457),0),IFERROR(LOOKUP(2,1/($B$1:B457=B458),$P$1:P457),0)))</x:f>
      </x:c>
      <x:c r="Q458" t="str">
        <x:f>IFERROR($P458/$O458,"")</x:f>
      </x:c>
      <x:c r="R458" t="str">
        <x:f>IF(LOWER($D458)="sell",$M458-$N458-IFERROR(IFERROR(LOOKUP(2,1/($B$1:B457=B458),$P$1:P457),0)/IFERROR(LOOKUP(2,1/($B$1:B457=B458),$O$1:O457),0)*$E458,0),"")</x:f>
      </x:c>
      <x:c r="S458" t="str">
        <x:f>IF(COUNTA($A458:$D458)=0,"",IF($B458="","Missing symbol",IF($D458="","Missing action",IF(AND(LOWER($D458)="sell",$E458&gt;IFERROR(LOOKUP(2,1/($B$1:B457=B458),$O$1:O457),0)),"Sold more units than available","OK"))))</x:f>
      </x:c>
    </x:row>
    <x:row r="459">
      <x:c r="M459" t="str">
        <x:f>IF(COUNTA($A459:$D459)=0,"",IF($G459&lt;&gt;"",$G459,IF(AND($E459&lt;&gt;"",$F459&lt;&gt;""),$E459*$F459,""))*IF($J459&lt;&gt;"",$J459,1))</x:f>
      </x:c>
      <x:c r="N459" t="str">
        <x:f>IF(COUNTA($A459:$D459)=0,"",IF($H459&lt;&gt;"",$H459,0)*IF($J459&lt;&gt;"",$J459,1))</x:f>
      </x:c>
      <x:c r="O459" t="str">
        <x:f>IF(COUNTA($A459:$D459)=0,"",SWITCH(LOWER($D459),"buy",IFERROR(LOOKUP(2,1/($B$1:B458=B459),$O$1:O458),0)+$E459,"drip",IFERROR(LOOKUP(2,1/($B$1:B458=B459),$O$1:O458),0)+$E459,"sell",IFERROR(LOOKUP(2,1/($B$1:B458=B459),$O$1:O458),0)-$E459,"return_of_capital",IFERROR(LOOKUP(2,1/($B$1:B458=B459),$O$1:O458),0),"split",$E459,IFERROR(LOOKUP(2,1/($B$1:B458=B459),$O$1:O458),0)))</x:f>
      </x:c>
      <x:c r="P459" t="str">
        <x:f>IF(COUNTA($A459:$D459)=0,"",SWITCH(LOWER($D459),"buy",IFERROR(LOOKUP(2,1/($B$1:B458=B459),$P$1:P458),0)+$M459+$N459,"drip",IFERROR(LOOKUP(2,1/($B$1:B458=B459),$P$1:P458),0)+$M459+$N459,"sell",IFERROR(LOOKUP(2,1/($B$1:B458=B459),$P$1:P458),0)-IFERROR(IFERROR(LOOKUP(2,1/($B$1:B458=B459),$P$1:P458),0)/IFERROR(LOOKUP(2,1/($B$1:B458=B459),$O$1:O458),0)*$E459,0),"return_of_capital",IFERROR(LOOKUP(2,1/($B$1:B458=B459),$P$1:P458),0)-ABS($M459),"split",IFERROR(LOOKUP(2,1/($B$1:B458=B459),$P$1:P458),0),IFERROR(LOOKUP(2,1/($B$1:B458=B459),$P$1:P458),0)))</x:f>
      </x:c>
      <x:c r="Q459" t="str">
        <x:f>IFERROR($P459/$O459,"")</x:f>
      </x:c>
      <x:c r="R459" t="str">
        <x:f>IF(LOWER($D459)="sell",$M459-$N459-IFERROR(IFERROR(LOOKUP(2,1/($B$1:B458=B459),$P$1:P458),0)/IFERROR(LOOKUP(2,1/($B$1:B458=B459),$O$1:O458),0)*$E459,0),"")</x:f>
      </x:c>
      <x:c r="S459" t="str">
        <x:f>IF(COUNTA($A459:$D459)=0,"",IF($B459="","Missing symbol",IF($D459="","Missing action",IF(AND(LOWER($D459)="sell",$E459&gt;IFERROR(LOOKUP(2,1/($B$1:B458=B459),$O$1:O458),0)),"Sold more units than available","OK"))))</x:f>
      </x:c>
    </x:row>
    <x:row r="460">
      <x:c r="M460" t="str">
        <x:f>IF(COUNTA($A460:$D460)=0,"",IF($G460&lt;&gt;"",$G460,IF(AND($E460&lt;&gt;"",$F460&lt;&gt;""),$E460*$F460,""))*IF($J460&lt;&gt;"",$J460,1))</x:f>
      </x:c>
      <x:c r="N460" t="str">
        <x:f>IF(COUNTA($A460:$D460)=0,"",IF($H460&lt;&gt;"",$H460,0)*IF($J460&lt;&gt;"",$J460,1))</x:f>
      </x:c>
      <x:c r="O460" t="str">
        <x:f>IF(COUNTA($A460:$D460)=0,"",SWITCH(LOWER($D460),"buy",IFERROR(LOOKUP(2,1/($B$1:B459=B460),$O$1:O459),0)+$E460,"drip",IFERROR(LOOKUP(2,1/($B$1:B459=B460),$O$1:O459),0)+$E460,"sell",IFERROR(LOOKUP(2,1/($B$1:B459=B460),$O$1:O459),0)-$E460,"return_of_capital",IFERROR(LOOKUP(2,1/($B$1:B459=B460),$O$1:O459),0),"split",$E460,IFERROR(LOOKUP(2,1/($B$1:B459=B460),$O$1:O459),0)))</x:f>
      </x:c>
      <x:c r="P460" t="str">
        <x:f>IF(COUNTA($A460:$D460)=0,"",SWITCH(LOWER($D460),"buy",IFERROR(LOOKUP(2,1/($B$1:B459=B460),$P$1:P459),0)+$M460+$N460,"drip",IFERROR(LOOKUP(2,1/($B$1:B459=B460),$P$1:P459),0)+$M460+$N460,"sell",IFERROR(LOOKUP(2,1/($B$1:B459=B460),$P$1:P459),0)-IFERROR(IFERROR(LOOKUP(2,1/($B$1:B459=B460),$P$1:P459),0)/IFERROR(LOOKUP(2,1/($B$1:B459=B460),$O$1:O459),0)*$E460,0),"return_of_capital",IFERROR(LOOKUP(2,1/($B$1:B459=B460),$P$1:P459),0)-ABS($M460),"split",IFERROR(LOOKUP(2,1/($B$1:B459=B460),$P$1:P459),0),IFERROR(LOOKUP(2,1/($B$1:B459=B460),$P$1:P459),0)))</x:f>
      </x:c>
      <x:c r="Q460" t="str">
        <x:f>IFERROR($P460/$O460,"")</x:f>
      </x:c>
      <x:c r="R460" t="str">
        <x:f>IF(LOWER($D460)="sell",$M460-$N460-IFERROR(IFERROR(LOOKUP(2,1/($B$1:B459=B460),$P$1:P459),0)/IFERROR(LOOKUP(2,1/($B$1:B459=B460),$O$1:O459),0)*$E460,0),"")</x:f>
      </x:c>
      <x:c r="S460" t="str">
        <x:f>IF(COUNTA($A460:$D460)=0,"",IF($B460="","Missing symbol",IF($D460="","Missing action",IF(AND(LOWER($D460)="sell",$E460&gt;IFERROR(LOOKUP(2,1/($B$1:B459=B460),$O$1:O459),0)),"Sold more units than available","OK"))))</x:f>
      </x:c>
    </x:row>
    <x:row r="461">
      <x:c r="M461" t="str">
        <x:f>IF(COUNTA($A461:$D461)=0,"",IF($G461&lt;&gt;"",$G461,IF(AND($E461&lt;&gt;"",$F461&lt;&gt;""),$E461*$F461,""))*IF($J461&lt;&gt;"",$J461,1))</x:f>
      </x:c>
      <x:c r="N461" t="str">
        <x:f>IF(COUNTA($A461:$D461)=0,"",IF($H461&lt;&gt;"",$H461,0)*IF($J461&lt;&gt;"",$J461,1))</x:f>
      </x:c>
      <x:c r="O461" t="str">
        <x:f>IF(COUNTA($A461:$D461)=0,"",SWITCH(LOWER($D461),"buy",IFERROR(LOOKUP(2,1/($B$1:B460=B461),$O$1:O460),0)+$E461,"drip",IFERROR(LOOKUP(2,1/($B$1:B460=B461),$O$1:O460),0)+$E461,"sell",IFERROR(LOOKUP(2,1/($B$1:B460=B461),$O$1:O460),0)-$E461,"return_of_capital",IFERROR(LOOKUP(2,1/($B$1:B460=B461),$O$1:O460),0),"split",$E461,IFERROR(LOOKUP(2,1/($B$1:B460=B461),$O$1:O460),0)))</x:f>
      </x:c>
      <x:c r="P461" t="str">
        <x:f>IF(COUNTA($A461:$D461)=0,"",SWITCH(LOWER($D461),"buy",IFERROR(LOOKUP(2,1/($B$1:B460=B461),$P$1:P460),0)+$M461+$N461,"drip",IFERROR(LOOKUP(2,1/($B$1:B460=B461),$P$1:P460),0)+$M461+$N461,"sell",IFERROR(LOOKUP(2,1/($B$1:B460=B461),$P$1:P460),0)-IFERROR(IFERROR(LOOKUP(2,1/($B$1:B460=B461),$P$1:P460),0)/IFERROR(LOOKUP(2,1/($B$1:B460=B461),$O$1:O460),0)*$E461,0),"return_of_capital",IFERROR(LOOKUP(2,1/($B$1:B460=B461),$P$1:P460),0)-ABS($M461),"split",IFERROR(LOOKUP(2,1/($B$1:B460=B461),$P$1:P460),0),IFERROR(LOOKUP(2,1/($B$1:B460=B461),$P$1:P460),0)))</x:f>
      </x:c>
      <x:c r="Q461" t="str">
        <x:f>IFERROR($P461/$O461,"")</x:f>
      </x:c>
      <x:c r="R461" t="str">
        <x:f>IF(LOWER($D461)="sell",$M461-$N461-IFERROR(IFERROR(LOOKUP(2,1/($B$1:B460=B461),$P$1:P460),0)/IFERROR(LOOKUP(2,1/($B$1:B460=B461),$O$1:O460),0)*$E461,0),"")</x:f>
      </x:c>
      <x:c r="S461" t="str">
        <x:f>IF(COUNTA($A461:$D461)=0,"",IF($B461="","Missing symbol",IF($D461="","Missing action",IF(AND(LOWER($D461)="sell",$E461&gt;IFERROR(LOOKUP(2,1/($B$1:B460=B461),$O$1:O460),0)),"Sold more units than available","OK"))))</x:f>
      </x:c>
    </x:row>
    <x:row r="462">
      <x:c r="M462" t="str">
        <x:f>IF(COUNTA($A462:$D462)=0,"",IF($G462&lt;&gt;"",$G462,IF(AND($E462&lt;&gt;"",$F462&lt;&gt;""),$E462*$F462,""))*IF($J462&lt;&gt;"",$J462,1))</x:f>
      </x:c>
      <x:c r="N462" t="str">
        <x:f>IF(COUNTA($A462:$D462)=0,"",IF($H462&lt;&gt;"",$H462,0)*IF($J462&lt;&gt;"",$J462,1))</x:f>
      </x:c>
      <x:c r="O462" t="str">
        <x:f>IF(COUNTA($A462:$D462)=0,"",SWITCH(LOWER($D462),"buy",IFERROR(LOOKUP(2,1/($B$1:B461=B462),$O$1:O461),0)+$E462,"drip",IFERROR(LOOKUP(2,1/($B$1:B461=B462),$O$1:O461),0)+$E462,"sell",IFERROR(LOOKUP(2,1/($B$1:B461=B462),$O$1:O461),0)-$E462,"return_of_capital",IFERROR(LOOKUP(2,1/($B$1:B461=B462),$O$1:O461),0),"split",$E462,IFERROR(LOOKUP(2,1/($B$1:B461=B462),$O$1:O461),0)))</x:f>
      </x:c>
      <x:c r="P462" t="str">
        <x:f>IF(COUNTA($A462:$D462)=0,"",SWITCH(LOWER($D462),"buy",IFERROR(LOOKUP(2,1/($B$1:B461=B462),$P$1:P461),0)+$M462+$N462,"drip",IFERROR(LOOKUP(2,1/($B$1:B461=B462),$P$1:P461),0)+$M462+$N462,"sell",IFERROR(LOOKUP(2,1/($B$1:B461=B462),$P$1:P461),0)-IFERROR(IFERROR(LOOKUP(2,1/($B$1:B461=B462),$P$1:P461),0)/IFERROR(LOOKUP(2,1/($B$1:B461=B462),$O$1:O461),0)*$E462,0),"return_of_capital",IFERROR(LOOKUP(2,1/($B$1:B461=B462),$P$1:P461),0)-ABS($M462),"split",IFERROR(LOOKUP(2,1/($B$1:B461=B462),$P$1:P461),0),IFERROR(LOOKUP(2,1/($B$1:B461=B462),$P$1:P461),0)))</x:f>
      </x:c>
      <x:c r="Q462" t="str">
        <x:f>IFERROR($P462/$O462,"")</x:f>
      </x:c>
      <x:c r="R462" t="str">
        <x:f>IF(LOWER($D462)="sell",$M462-$N462-IFERROR(IFERROR(LOOKUP(2,1/($B$1:B461=B462),$P$1:P461),0)/IFERROR(LOOKUP(2,1/($B$1:B461=B462),$O$1:O461),0)*$E462,0),"")</x:f>
      </x:c>
      <x:c r="S462" t="str">
        <x:f>IF(COUNTA($A462:$D462)=0,"",IF($B462="","Missing symbol",IF($D462="","Missing action",IF(AND(LOWER($D462)="sell",$E462&gt;IFERROR(LOOKUP(2,1/($B$1:B461=B462),$O$1:O461),0)),"Sold more units than available","OK"))))</x:f>
      </x:c>
    </x:row>
    <x:row r="463">
      <x:c r="M463" t="str">
        <x:f>IF(COUNTA($A463:$D463)=0,"",IF($G463&lt;&gt;"",$G463,IF(AND($E463&lt;&gt;"",$F463&lt;&gt;""),$E463*$F463,""))*IF($J463&lt;&gt;"",$J463,1))</x:f>
      </x:c>
      <x:c r="N463" t="str">
        <x:f>IF(COUNTA($A463:$D463)=0,"",IF($H463&lt;&gt;"",$H463,0)*IF($J463&lt;&gt;"",$J463,1))</x:f>
      </x:c>
      <x:c r="O463" t="str">
        <x:f>IF(COUNTA($A463:$D463)=0,"",SWITCH(LOWER($D463),"buy",IFERROR(LOOKUP(2,1/($B$1:B462=B463),$O$1:O462),0)+$E463,"drip",IFERROR(LOOKUP(2,1/($B$1:B462=B463),$O$1:O462),0)+$E463,"sell",IFERROR(LOOKUP(2,1/($B$1:B462=B463),$O$1:O462),0)-$E463,"return_of_capital",IFERROR(LOOKUP(2,1/($B$1:B462=B463),$O$1:O462),0),"split",$E463,IFERROR(LOOKUP(2,1/($B$1:B462=B463),$O$1:O462),0)))</x:f>
      </x:c>
      <x:c r="P463" t="str">
        <x:f>IF(COUNTA($A463:$D463)=0,"",SWITCH(LOWER($D463),"buy",IFERROR(LOOKUP(2,1/($B$1:B462=B463),$P$1:P462),0)+$M463+$N463,"drip",IFERROR(LOOKUP(2,1/($B$1:B462=B463),$P$1:P462),0)+$M463+$N463,"sell",IFERROR(LOOKUP(2,1/($B$1:B462=B463),$P$1:P462),0)-IFERROR(IFERROR(LOOKUP(2,1/($B$1:B462=B463),$P$1:P462),0)/IFERROR(LOOKUP(2,1/($B$1:B462=B463),$O$1:O462),0)*$E463,0),"return_of_capital",IFERROR(LOOKUP(2,1/($B$1:B462=B463),$P$1:P462),0)-ABS($M463),"split",IFERROR(LOOKUP(2,1/($B$1:B462=B463),$P$1:P462),0),IFERROR(LOOKUP(2,1/($B$1:B462=B463),$P$1:P462),0)))</x:f>
      </x:c>
      <x:c r="Q463" t="str">
        <x:f>IFERROR($P463/$O463,"")</x:f>
      </x:c>
      <x:c r="R463" t="str">
        <x:f>IF(LOWER($D463)="sell",$M463-$N463-IFERROR(IFERROR(LOOKUP(2,1/($B$1:B462=B463),$P$1:P462),0)/IFERROR(LOOKUP(2,1/($B$1:B462=B463),$O$1:O462),0)*$E463,0),"")</x:f>
      </x:c>
      <x:c r="S463" t="str">
        <x:f>IF(COUNTA($A463:$D463)=0,"",IF($B463="","Missing symbol",IF($D463="","Missing action",IF(AND(LOWER($D463)="sell",$E463&gt;IFERROR(LOOKUP(2,1/($B$1:B462=B463),$O$1:O462),0)),"Sold more units than available","OK"))))</x:f>
      </x:c>
    </x:row>
    <x:row r="464">
      <x:c r="M464" t="str">
        <x:f>IF(COUNTA($A464:$D464)=0,"",IF($G464&lt;&gt;"",$G464,IF(AND($E464&lt;&gt;"",$F464&lt;&gt;""),$E464*$F464,""))*IF($J464&lt;&gt;"",$J464,1))</x:f>
      </x:c>
      <x:c r="N464" t="str">
        <x:f>IF(COUNTA($A464:$D464)=0,"",IF($H464&lt;&gt;"",$H464,0)*IF($J464&lt;&gt;"",$J464,1))</x:f>
      </x:c>
      <x:c r="O464" t="str">
        <x:f>IF(COUNTA($A464:$D464)=0,"",SWITCH(LOWER($D464),"buy",IFERROR(LOOKUP(2,1/($B$1:B463=B464),$O$1:O463),0)+$E464,"drip",IFERROR(LOOKUP(2,1/($B$1:B463=B464),$O$1:O463),0)+$E464,"sell",IFERROR(LOOKUP(2,1/($B$1:B463=B464),$O$1:O463),0)-$E464,"return_of_capital",IFERROR(LOOKUP(2,1/($B$1:B463=B464),$O$1:O463),0),"split",$E464,IFERROR(LOOKUP(2,1/($B$1:B463=B464),$O$1:O463),0)))</x:f>
      </x:c>
      <x:c r="P464" t="str">
        <x:f>IF(COUNTA($A464:$D464)=0,"",SWITCH(LOWER($D464),"buy",IFERROR(LOOKUP(2,1/($B$1:B463=B464),$P$1:P463),0)+$M464+$N464,"drip",IFERROR(LOOKUP(2,1/($B$1:B463=B464),$P$1:P463),0)+$M464+$N464,"sell",IFERROR(LOOKUP(2,1/($B$1:B463=B464),$P$1:P463),0)-IFERROR(IFERROR(LOOKUP(2,1/($B$1:B463=B464),$P$1:P463),0)/IFERROR(LOOKUP(2,1/($B$1:B463=B464),$O$1:O463),0)*$E464,0),"return_of_capital",IFERROR(LOOKUP(2,1/($B$1:B463=B464),$P$1:P463),0)-ABS($M464),"split",IFERROR(LOOKUP(2,1/($B$1:B463=B464),$P$1:P463),0),IFERROR(LOOKUP(2,1/($B$1:B463=B464),$P$1:P463),0)))</x:f>
      </x:c>
      <x:c r="Q464" t="str">
        <x:f>IFERROR($P464/$O464,"")</x:f>
      </x:c>
      <x:c r="R464" t="str">
        <x:f>IF(LOWER($D464)="sell",$M464-$N464-IFERROR(IFERROR(LOOKUP(2,1/($B$1:B463=B464),$P$1:P463),0)/IFERROR(LOOKUP(2,1/($B$1:B463=B464),$O$1:O463),0)*$E464,0),"")</x:f>
      </x:c>
      <x:c r="S464" t="str">
        <x:f>IF(COUNTA($A464:$D464)=0,"",IF($B464="","Missing symbol",IF($D464="","Missing action",IF(AND(LOWER($D464)="sell",$E464&gt;IFERROR(LOOKUP(2,1/($B$1:B463=B464),$O$1:O463),0)),"Sold more units than available","OK"))))</x:f>
      </x:c>
    </x:row>
    <x:row r="465">
      <x:c r="M465" t="str">
        <x:f>IF(COUNTA($A465:$D465)=0,"",IF($G465&lt;&gt;"",$G465,IF(AND($E465&lt;&gt;"",$F465&lt;&gt;""),$E465*$F465,""))*IF($J465&lt;&gt;"",$J465,1))</x:f>
      </x:c>
      <x:c r="N465" t="str">
        <x:f>IF(COUNTA($A465:$D465)=0,"",IF($H465&lt;&gt;"",$H465,0)*IF($J465&lt;&gt;"",$J465,1))</x:f>
      </x:c>
      <x:c r="O465" t="str">
        <x:f>IF(COUNTA($A465:$D465)=0,"",SWITCH(LOWER($D465),"buy",IFERROR(LOOKUP(2,1/($B$1:B464=B465),$O$1:O464),0)+$E465,"drip",IFERROR(LOOKUP(2,1/($B$1:B464=B465),$O$1:O464),0)+$E465,"sell",IFERROR(LOOKUP(2,1/($B$1:B464=B465),$O$1:O464),0)-$E465,"return_of_capital",IFERROR(LOOKUP(2,1/($B$1:B464=B465),$O$1:O464),0),"split",$E465,IFERROR(LOOKUP(2,1/($B$1:B464=B465),$O$1:O464),0)))</x:f>
      </x:c>
      <x:c r="P465" t="str">
        <x:f>IF(COUNTA($A465:$D465)=0,"",SWITCH(LOWER($D465),"buy",IFERROR(LOOKUP(2,1/($B$1:B464=B465),$P$1:P464),0)+$M465+$N465,"drip",IFERROR(LOOKUP(2,1/($B$1:B464=B465),$P$1:P464),0)+$M465+$N465,"sell",IFERROR(LOOKUP(2,1/($B$1:B464=B465),$P$1:P464),0)-IFERROR(IFERROR(LOOKUP(2,1/($B$1:B464=B465),$P$1:P464),0)/IFERROR(LOOKUP(2,1/($B$1:B464=B465),$O$1:O464),0)*$E465,0),"return_of_capital",IFERROR(LOOKUP(2,1/($B$1:B464=B465),$P$1:P464),0)-ABS($M465),"split",IFERROR(LOOKUP(2,1/($B$1:B464=B465),$P$1:P464),0),IFERROR(LOOKUP(2,1/($B$1:B464=B465),$P$1:P464),0)))</x:f>
      </x:c>
      <x:c r="Q465" t="str">
        <x:f>IFERROR($P465/$O465,"")</x:f>
      </x:c>
      <x:c r="R465" t="str">
        <x:f>IF(LOWER($D465)="sell",$M465-$N465-IFERROR(IFERROR(LOOKUP(2,1/($B$1:B464=B465),$P$1:P464),0)/IFERROR(LOOKUP(2,1/($B$1:B464=B465),$O$1:O464),0)*$E465,0),"")</x:f>
      </x:c>
      <x:c r="S465" t="str">
        <x:f>IF(COUNTA($A465:$D465)=0,"",IF($B465="","Missing symbol",IF($D465="","Missing action",IF(AND(LOWER($D465)="sell",$E465&gt;IFERROR(LOOKUP(2,1/($B$1:B464=B465),$O$1:O464),0)),"Sold more units than available","OK"))))</x:f>
      </x:c>
    </x:row>
    <x:row r="466">
      <x:c r="M466" t="str">
        <x:f>IF(COUNTA($A466:$D466)=0,"",IF($G466&lt;&gt;"",$G466,IF(AND($E466&lt;&gt;"",$F466&lt;&gt;""),$E466*$F466,""))*IF($J466&lt;&gt;"",$J466,1))</x:f>
      </x:c>
      <x:c r="N466" t="str">
        <x:f>IF(COUNTA($A466:$D466)=0,"",IF($H466&lt;&gt;"",$H466,0)*IF($J466&lt;&gt;"",$J466,1))</x:f>
      </x:c>
      <x:c r="O466" t="str">
        <x:f>IF(COUNTA($A466:$D466)=0,"",SWITCH(LOWER($D466),"buy",IFERROR(LOOKUP(2,1/($B$1:B465=B466),$O$1:O465),0)+$E466,"drip",IFERROR(LOOKUP(2,1/($B$1:B465=B466),$O$1:O465),0)+$E466,"sell",IFERROR(LOOKUP(2,1/($B$1:B465=B466),$O$1:O465),0)-$E466,"return_of_capital",IFERROR(LOOKUP(2,1/($B$1:B465=B466),$O$1:O465),0),"split",$E466,IFERROR(LOOKUP(2,1/($B$1:B465=B466),$O$1:O465),0)))</x:f>
      </x:c>
      <x:c r="P466" t="str">
        <x:f>IF(COUNTA($A466:$D466)=0,"",SWITCH(LOWER($D466),"buy",IFERROR(LOOKUP(2,1/($B$1:B465=B466),$P$1:P465),0)+$M466+$N466,"drip",IFERROR(LOOKUP(2,1/($B$1:B465=B466),$P$1:P465),0)+$M466+$N466,"sell",IFERROR(LOOKUP(2,1/($B$1:B465=B466),$P$1:P465),0)-IFERROR(IFERROR(LOOKUP(2,1/($B$1:B465=B466),$P$1:P465),0)/IFERROR(LOOKUP(2,1/($B$1:B465=B466),$O$1:O465),0)*$E466,0),"return_of_capital",IFERROR(LOOKUP(2,1/($B$1:B465=B466),$P$1:P465),0)-ABS($M466),"split",IFERROR(LOOKUP(2,1/($B$1:B465=B466),$P$1:P465),0),IFERROR(LOOKUP(2,1/($B$1:B465=B466),$P$1:P465),0)))</x:f>
      </x:c>
      <x:c r="Q466" t="str">
        <x:f>IFERROR($P466/$O466,"")</x:f>
      </x:c>
      <x:c r="R466" t="str">
        <x:f>IF(LOWER($D466)="sell",$M466-$N466-IFERROR(IFERROR(LOOKUP(2,1/($B$1:B465=B466),$P$1:P465),0)/IFERROR(LOOKUP(2,1/($B$1:B465=B466),$O$1:O465),0)*$E466,0),"")</x:f>
      </x:c>
      <x:c r="S466" t="str">
        <x:f>IF(COUNTA($A466:$D466)=0,"",IF($B466="","Missing symbol",IF($D466="","Missing action",IF(AND(LOWER($D466)="sell",$E466&gt;IFERROR(LOOKUP(2,1/($B$1:B465=B466),$O$1:O465),0)),"Sold more units than available","OK"))))</x:f>
      </x:c>
    </x:row>
    <x:row r="467">
      <x:c r="M467" t="str">
        <x:f>IF(COUNTA($A467:$D467)=0,"",IF($G467&lt;&gt;"",$G467,IF(AND($E467&lt;&gt;"",$F467&lt;&gt;""),$E467*$F467,""))*IF($J467&lt;&gt;"",$J467,1))</x:f>
      </x:c>
      <x:c r="N467" t="str">
        <x:f>IF(COUNTA($A467:$D467)=0,"",IF($H467&lt;&gt;"",$H467,0)*IF($J467&lt;&gt;"",$J467,1))</x:f>
      </x:c>
      <x:c r="O467" t="str">
        <x:f>IF(COUNTA($A467:$D467)=0,"",SWITCH(LOWER($D467),"buy",IFERROR(LOOKUP(2,1/($B$1:B466=B467),$O$1:O466),0)+$E467,"drip",IFERROR(LOOKUP(2,1/($B$1:B466=B467),$O$1:O466),0)+$E467,"sell",IFERROR(LOOKUP(2,1/($B$1:B466=B467),$O$1:O466),0)-$E467,"return_of_capital",IFERROR(LOOKUP(2,1/($B$1:B466=B467),$O$1:O466),0),"split",$E467,IFERROR(LOOKUP(2,1/($B$1:B466=B467),$O$1:O466),0)))</x:f>
      </x:c>
      <x:c r="P467" t="str">
        <x:f>IF(COUNTA($A467:$D467)=0,"",SWITCH(LOWER($D467),"buy",IFERROR(LOOKUP(2,1/($B$1:B466=B467),$P$1:P466),0)+$M467+$N467,"drip",IFERROR(LOOKUP(2,1/($B$1:B466=B467),$P$1:P466),0)+$M467+$N467,"sell",IFERROR(LOOKUP(2,1/($B$1:B466=B467),$P$1:P466),0)-IFERROR(IFERROR(LOOKUP(2,1/($B$1:B466=B467),$P$1:P466),0)/IFERROR(LOOKUP(2,1/($B$1:B466=B467),$O$1:O466),0)*$E467,0),"return_of_capital",IFERROR(LOOKUP(2,1/($B$1:B466=B467),$P$1:P466),0)-ABS($M467),"split",IFERROR(LOOKUP(2,1/($B$1:B466=B467),$P$1:P466),0),IFERROR(LOOKUP(2,1/($B$1:B466=B467),$P$1:P466),0)))</x:f>
      </x:c>
      <x:c r="Q467" t="str">
        <x:f>IFERROR($P467/$O467,"")</x:f>
      </x:c>
      <x:c r="R467" t="str">
        <x:f>IF(LOWER($D467)="sell",$M467-$N467-IFERROR(IFERROR(LOOKUP(2,1/($B$1:B466=B467),$P$1:P466),0)/IFERROR(LOOKUP(2,1/($B$1:B466=B467),$O$1:O466),0)*$E467,0),"")</x:f>
      </x:c>
      <x:c r="S467" t="str">
        <x:f>IF(COUNTA($A467:$D467)=0,"",IF($B467="","Missing symbol",IF($D467="","Missing action",IF(AND(LOWER($D467)="sell",$E467&gt;IFERROR(LOOKUP(2,1/($B$1:B466=B467),$O$1:O466),0)),"Sold more units than available","OK"))))</x:f>
      </x:c>
    </x:row>
    <x:row r="468">
      <x:c r="M468" t="str">
        <x:f>IF(COUNTA($A468:$D468)=0,"",IF($G468&lt;&gt;"",$G468,IF(AND($E468&lt;&gt;"",$F468&lt;&gt;""),$E468*$F468,""))*IF($J468&lt;&gt;"",$J468,1))</x:f>
      </x:c>
      <x:c r="N468" t="str">
        <x:f>IF(COUNTA($A468:$D468)=0,"",IF($H468&lt;&gt;"",$H468,0)*IF($J468&lt;&gt;"",$J468,1))</x:f>
      </x:c>
      <x:c r="O468" t="str">
        <x:f>IF(COUNTA($A468:$D468)=0,"",SWITCH(LOWER($D468),"buy",IFERROR(LOOKUP(2,1/($B$1:B467=B468),$O$1:O467),0)+$E468,"drip",IFERROR(LOOKUP(2,1/($B$1:B467=B468),$O$1:O467),0)+$E468,"sell",IFERROR(LOOKUP(2,1/($B$1:B467=B468),$O$1:O467),0)-$E468,"return_of_capital",IFERROR(LOOKUP(2,1/($B$1:B467=B468),$O$1:O467),0),"split",$E468,IFERROR(LOOKUP(2,1/($B$1:B467=B468),$O$1:O467),0)))</x:f>
      </x:c>
      <x:c r="P468" t="str">
        <x:f>IF(COUNTA($A468:$D468)=0,"",SWITCH(LOWER($D468),"buy",IFERROR(LOOKUP(2,1/($B$1:B467=B468),$P$1:P467),0)+$M468+$N468,"drip",IFERROR(LOOKUP(2,1/($B$1:B467=B468),$P$1:P467),0)+$M468+$N468,"sell",IFERROR(LOOKUP(2,1/($B$1:B467=B468),$P$1:P467),0)-IFERROR(IFERROR(LOOKUP(2,1/($B$1:B467=B468),$P$1:P467),0)/IFERROR(LOOKUP(2,1/($B$1:B467=B468),$O$1:O467),0)*$E468,0),"return_of_capital",IFERROR(LOOKUP(2,1/($B$1:B467=B468),$P$1:P467),0)-ABS($M468),"split",IFERROR(LOOKUP(2,1/($B$1:B467=B468),$P$1:P467),0),IFERROR(LOOKUP(2,1/($B$1:B467=B468),$P$1:P467),0)))</x:f>
      </x:c>
      <x:c r="Q468" t="str">
        <x:f>IFERROR($P468/$O468,"")</x:f>
      </x:c>
      <x:c r="R468" t="str">
        <x:f>IF(LOWER($D468)="sell",$M468-$N468-IFERROR(IFERROR(LOOKUP(2,1/($B$1:B467=B468),$P$1:P467),0)/IFERROR(LOOKUP(2,1/($B$1:B467=B468),$O$1:O467),0)*$E468,0),"")</x:f>
      </x:c>
      <x:c r="S468" t="str">
        <x:f>IF(COUNTA($A468:$D468)=0,"",IF($B468="","Missing symbol",IF($D468="","Missing action",IF(AND(LOWER($D468)="sell",$E468&gt;IFERROR(LOOKUP(2,1/($B$1:B467=B468),$O$1:O467),0)),"Sold more units than available","OK"))))</x:f>
      </x:c>
    </x:row>
    <x:row r="469">
      <x:c r="M469" t="str">
        <x:f>IF(COUNTA($A469:$D469)=0,"",IF($G469&lt;&gt;"",$G469,IF(AND($E469&lt;&gt;"",$F469&lt;&gt;""),$E469*$F469,""))*IF($J469&lt;&gt;"",$J469,1))</x:f>
      </x:c>
      <x:c r="N469" t="str">
        <x:f>IF(COUNTA($A469:$D469)=0,"",IF($H469&lt;&gt;"",$H469,0)*IF($J469&lt;&gt;"",$J469,1))</x:f>
      </x:c>
      <x:c r="O469" t="str">
        <x:f>IF(COUNTA($A469:$D469)=0,"",SWITCH(LOWER($D469),"buy",IFERROR(LOOKUP(2,1/($B$1:B468=B469),$O$1:O468),0)+$E469,"drip",IFERROR(LOOKUP(2,1/($B$1:B468=B469),$O$1:O468),0)+$E469,"sell",IFERROR(LOOKUP(2,1/($B$1:B468=B469),$O$1:O468),0)-$E469,"return_of_capital",IFERROR(LOOKUP(2,1/($B$1:B468=B469),$O$1:O468),0),"split",$E469,IFERROR(LOOKUP(2,1/($B$1:B468=B469),$O$1:O468),0)))</x:f>
      </x:c>
      <x:c r="P469" t="str">
        <x:f>IF(COUNTA($A469:$D469)=0,"",SWITCH(LOWER($D469),"buy",IFERROR(LOOKUP(2,1/($B$1:B468=B469),$P$1:P468),0)+$M469+$N469,"drip",IFERROR(LOOKUP(2,1/($B$1:B468=B469),$P$1:P468),0)+$M469+$N469,"sell",IFERROR(LOOKUP(2,1/($B$1:B468=B469),$P$1:P468),0)-IFERROR(IFERROR(LOOKUP(2,1/($B$1:B468=B469),$P$1:P468),0)/IFERROR(LOOKUP(2,1/($B$1:B468=B469),$O$1:O468),0)*$E469,0),"return_of_capital",IFERROR(LOOKUP(2,1/($B$1:B468=B469),$P$1:P468),0)-ABS($M469),"split",IFERROR(LOOKUP(2,1/($B$1:B468=B469),$P$1:P468),0),IFERROR(LOOKUP(2,1/($B$1:B468=B469),$P$1:P468),0)))</x:f>
      </x:c>
      <x:c r="Q469" t="str">
        <x:f>IFERROR($P469/$O469,"")</x:f>
      </x:c>
      <x:c r="R469" t="str">
        <x:f>IF(LOWER($D469)="sell",$M469-$N469-IFERROR(IFERROR(LOOKUP(2,1/($B$1:B468=B469),$P$1:P468),0)/IFERROR(LOOKUP(2,1/($B$1:B468=B469),$O$1:O468),0)*$E469,0),"")</x:f>
      </x:c>
      <x:c r="S469" t="str">
        <x:f>IF(COUNTA($A469:$D469)=0,"",IF($B469="","Missing symbol",IF($D469="","Missing action",IF(AND(LOWER($D469)="sell",$E469&gt;IFERROR(LOOKUP(2,1/($B$1:B468=B469),$O$1:O468),0)),"Sold more units than available","OK"))))</x:f>
      </x:c>
    </x:row>
    <x:row r="470">
      <x:c r="M470" t="str">
        <x:f>IF(COUNTA($A470:$D470)=0,"",IF($G470&lt;&gt;"",$G470,IF(AND($E470&lt;&gt;"",$F470&lt;&gt;""),$E470*$F470,""))*IF($J470&lt;&gt;"",$J470,1))</x:f>
      </x:c>
      <x:c r="N470" t="str">
        <x:f>IF(COUNTA($A470:$D470)=0,"",IF($H470&lt;&gt;"",$H470,0)*IF($J470&lt;&gt;"",$J470,1))</x:f>
      </x:c>
      <x:c r="O470" t="str">
        <x:f>IF(COUNTA($A470:$D470)=0,"",SWITCH(LOWER($D470),"buy",IFERROR(LOOKUP(2,1/($B$1:B469=B470),$O$1:O469),0)+$E470,"drip",IFERROR(LOOKUP(2,1/($B$1:B469=B470),$O$1:O469),0)+$E470,"sell",IFERROR(LOOKUP(2,1/($B$1:B469=B470),$O$1:O469),0)-$E470,"return_of_capital",IFERROR(LOOKUP(2,1/($B$1:B469=B470),$O$1:O469),0),"split",$E470,IFERROR(LOOKUP(2,1/($B$1:B469=B470),$O$1:O469),0)))</x:f>
      </x:c>
      <x:c r="P470" t="str">
        <x:f>IF(COUNTA($A470:$D470)=0,"",SWITCH(LOWER($D470),"buy",IFERROR(LOOKUP(2,1/($B$1:B469=B470),$P$1:P469),0)+$M470+$N470,"drip",IFERROR(LOOKUP(2,1/($B$1:B469=B470),$P$1:P469),0)+$M470+$N470,"sell",IFERROR(LOOKUP(2,1/($B$1:B469=B470),$P$1:P469),0)-IFERROR(IFERROR(LOOKUP(2,1/($B$1:B469=B470),$P$1:P469),0)/IFERROR(LOOKUP(2,1/($B$1:B469=B470),$O$1:O469),0)*$E470,0),"return_of_capital",IFERROR(LOOKUP(2,1/($B$1:B469=B470),$P$1:P469),0)-ABS($M470),"split",IFERROR(LOOKUP(2,1/($B$1:B469=B470),$P$1:P469),0),IFERROR(LOOKUP(2,1/($B$1:B469=B470),$P$1:P469),0)))</x:f>
      </x:c>
      <x:c r="Q470" t="str">
        <x:f>IFERROR($P470/$O470,"")</x:f>
      </x:c>
      <x:c r="R470" t="str">
        <x:f>IF(LOWER($D470)="sell",$M470-$N470-IFERROR(IFERROR(LOOKUP(2,1/($B$1:B469=B470),$P$1:P469),0)/IFERROR(LOOKUP(2,1/($B$1:B469=B470),$O$1:O469),0)*$E470,0),"")</x:f>
      </x:c>
      <x:c r="S470" t="str">
        <x:f>IF(COUNTA($A470:$D470)=0,"",IF($B470="","Missing symbol",IF($D470="","Missing action",IF(AND(LOWER($D470)="sell",$E470&gt;IFERROR(LOOKUP(2,1/($B$1:B469=B470),$O$1:O469),0)),"Sold more units than available","OK"))))</x:f>
      </x:c>
    </x:row>
    <x:row r="471">
      <x:c r="M471" t="str">
        <x:f>IF(COUNTA($A471:$D471)=0,"",IF($G471&lt;&gt;"",$G471,IF(AND($E471&lt;&gt;"",$F471&lt;&gt;""),$E471*$F471,""))*IF($J471&lt;&gt;"",$J471,1))</x:f>
      </x:c>
      <x:c r="N471" t="str">
        <x:f>IF(COUNTA($A471:$D471)=0,"",IF($H471&lt;&gt;"",$H471,0)*IF($J471&lt;&gt;"",$J471,1))</x:f>
      </x:c>
      <x:c r="O471" t="str">
        <x:f>IF(COUNTA($A471:$D471)=0,"",SWITCH(LOWER($D471),"buy",IFERROR(LOOKUP(2,1/($B$1:B470=B471),$O$1:O470),0)+$E471,"drip",IFERROR(LOOKUP(2,1/($B$1:B470=B471),$O$1:O470),0)+$E471,"sell",IFERROR(LOOKUP(2,1/($B$1:B470=B471),$O$1:O470),0)-$E471,"return_of_capital",IFERROR(LOOKUP(2,1/($B$1:B470=B471),$O$1:O470),0),"split",$E471,IFERROR(LOOKUP(2,1/($B$1:B470=B471),$O$1:O470),0)))</x:f>
      </x:c>
      <x:c r="P471" t="str">
        <x:f>IF(COUNTA($A471:$D471)=0,"",SWITCH(LOWER($D471),"buy",IFERROR(LOOKUP(2,1/($B$1:B470=B471),$P$1:P470),0)+$M471+$N471,"drip",IFERROR(LOOKUP(2,1/($B$1:B470=B471),$P$1:P470),0)+$M471+$N471,"sell",IFERROR(LOOKUP(2,1/($B$1:B470=B471),$P$1:P470),0)-IFERROR(IFERROR(LOOKUP(2,1/($B$1:B470=B471),$P$1:P470),0)/IFERROR(LOOKUP(2,1/($B$1:B470=B471),$O$1:O470),0)*$E471,0),"return_of_capital",IFERROR(LOOKUP(2,1/($B$1:B470=B471),$P$1:P470),0)-ABS($M471),"split",IFERROR(LOOKUP(2,1/($B$1:B470=B471),$P$1:P470),0),IFERROR(LOOKUP(2,1/($B$1:B470=B471),$P$1:P470),0)))</x:f>
      </x:c>
      <x:c r="Q471" t="str">
        <x:f>IFERROR($P471/$O471,"")</x:f>
      </x:c>
      <x:c r="R471" t="str">
        <x:f>IF(LOWER($D471)="sell",$M471-$N471-IFERROR(IFERROR(LOOKUP(2,1/($B$1:B470=B471),$P$1:P470),0)/IFERROR(LOOKUP(2,1/($B$1:B470=B471),$O$1:O470),0)*$E471,0),"")</x:f>
      </x:c>
      <x:c r="S471" t="str">
        <x:f>IF(COUNTA($A471:$D471)=0,"",IF($B471="","Missing symbol",IF($D471="","Missing action",IF(AND(LOWER($D471)="sell",$E471&gt;IFERROR(LOOKUP(2,1/($B$1:B470=B471),$O$1:O470),0)),"Sold more units than available","OK"))))</x:f>
      </x:c>
    </x:row>
    <x:row r="472">
      <x:c r="M472" t="str">
        <x:f>IF(COUNTA($A472:$D472)=0,"",IF($G472&lt;&gt;"",$G472,IF(AND($E472&lt;&gt;"",$F472&lt;&gt;""),$E472*$F472,""))*IF($J472&lt;&gt;"",$J472,1))</x:f>
      </x:c>
      <x:c r="N472" t="str">
        <x:f>IF(COUNTA($A472:$D472)=0,"",IF($H472&lt;&gt;"",$H472,0)*IF($J472&lt;&gt;"",$J472,1))</x:f>
      </x:c>
      <x:c r="O472" t="str">
        <x:f>IF(COUNTA($A472:$D472)=0,"",SWITCH(LOWER($D472),"buy",IFERROR(LOOKUP(2,1/($B$1:B471=B472),$O$1:O471),0)+$E472,"drip",IFERROR(LOOKUP(2,1/($B$1:B471=B472),$O$1:O471),0)+$E472,"sell",IFERROR(LOOKUP(2,1/($B$1:B471=B472),$O$1:O471),0)-$E472,"return_of_capital",IFERROR(LOOKUP(2,1/($B$1:B471=B472),$O$1:O471),0),"split",$E472,IFERROR(LOOKUP(2,1/($B$1:B471=B472),$O$1:O471),0)))</x:f>
      </x:c>
      <x:c r="P472" t="str">
        <x:f>IF(COUNTA($A472:$D472)=0,"",SWITCH(LOWER($D472),"buy",IFERROR(LOOKUP(2,1/($B$1:B471=B472),$P$1:P471),0)+$M472+$N472,"drip",IFERROR(LOOKUP(2,1/($B$1:B471=B472),$P$1:P471),0)+$M472+$N472,"sell",IFERROR(LOOKUP(2,1/($B$1:B471=B472),$P$1:P471),0)-IFERROR(IFERROR(LOOKUP(2,1/($B$1:B471=B472),$P$1:P471),0)/IFERROR(LOOKUP(2,1/($B$1:B471=B472),$O$1:O471),0)*$E472,0),"return_of_capital",IFERROR(LOOKUP(2,1/($B$1:B471=B472),$P$1:P471),0)-ABS($M472),"split",IFERROR(LOOKUP(2,1/($B$1:B471=B472),$P$1:P471),0),IFERROR(LOOKUP(2,1/($B$1:B471=B472),$P$1:P471),0)))</x:f>
      </x:c>
      <x:c r="Q472" t="str">
        <x:f>IFERROR($P472/$O472,"")</x:f>
      </x:c>
      <x:c r="R472" t="str">
        <x:f>IF(LOWER($D472)="sell",$M472-$N472-IFERROR(IFERROR(LOOKUP(2,1/($B$1:B471=B472),$P$1:P471),0)/IFERROR(LOOKUP(2,1/($B$1:B471=B472),$O$1:O471),0)*$E472,0),"")</x:f>
      </x:c>
      <x:c r="S472" t="str">
        <x:f>IF(COUNTA($A472:$D472)=0,"",IF($B472="","Missing symbol",IF($D472="","Missing action",IF(AND(LOWER($D472)="sell",$E472&gt;IFERROR(LOOKUP(2,1/($B$1:B471=B472),$O$1:O471),0)),"Sold more units than available","OK"))))</x:f>
      </x:c>
    </x:row>
    <x:row r="473">
      <x:c r="M473" t="str">
        <x:f>IF(COUNTA($A473:$D473)=0,"",IF($G473&lt;&gt;"",$G473,IF(AND($E473&lt;&gt;"",$F473&lt;&gt;""),$E473*$F473,""))*IF($J473&lt;&gt;"",$J473,1))</x:f>
      </x:c>
      <x:c r="N473" t="str">
        <x:f>IF(COUNTA($A473:$D473)=0,"",IF($H473&lt;&gt;"",$H473,0)*IF($J473&lt;&gt;"",$J473,1))</x:f>
      </x:c>
      <x:c r="O473" t="str">
        <x:f>IF(COUNTA($A473:$D473)=0,"",SWITCH(LOWER($D473),"buy",IFERROR(LOOKUP(2,1/($B$1:B472=B473),$O$1:O472),0)+$E473,"drip",IFERROR(LOOKUP(2,1/($B$1:B472=B473),$O$1:O472),0)+$E473,"sell",IFERROR(LOOKUP(2,1/($B$1:B472=B473),$O$1:O472),0)-$E473,"return_of_capital",IFERROR(LOOKUP(2,1/($B$1:B472=B473),$O$1:O472),0),"split",$E473,IFERROR(LOOKUP(2,1/($B$1:B472=B473),$O$1:O472),0)))</x:f>
      </x:c>
      <x:c r="P473" t="str">
        <x:f>IF(COUNTA($A473:$D473)=0,"",SWITCH(LOWER($D473),"buy",IFERROR(LOOKUP(2,1/($B$1:B472=B473),$P$1:P472),0)+$M473+$N473,"drip",IFERROR(LOOKUP(2,1/($B$1:B472=B473),$P$1:P472),0)+$M473+$N473,"sell",IFERROR(LOOKUP(2,1/($B$1:B472=B473),$P$1:P472),0)-IFERROR(IFERROR(LOOKUP(2,1/($B$1:B472=B473),$P$1:P472),0)/IFERROR(LOOKUP(2,1/($B$1:B472=B473),$O$1:O472),0)*$E473,0),"return_of_capital",IFERROR(LOOKUP(2,1/($B$1:B472=B473),$P$1:P472),0)-ABS($M473),"split",IFERROR(LOOKUP(2,1/($B$1:B472=B473),$P$1:P472),0),IFERROR(LOOKUP(2,1/($B$1:B472=B473),$P$1:P472),0)))</x:f>
      </x:c>
      <x:c r="Q473" t="str">
        <x:f>IFERROR($P473/$O473,"")</x:f>
      </x:c>
      <x:c r="R473" t="str">
        <x:f>IF(LOWER($D473)="sell",$M473-$N473-IFERROR(IFERROR(LOOKUP(2,1/($B$1:B472=B473),$P$1:P472),0)/IFERROR(LOOKUP(2,1/($B$1:B472=B473),$O$1:O472),0)*$E473,0),"")</x:f>
      </x:c>
      <x:c r="S473" t="str">
        <x:f>IF(COUNTA($A473:$D473)=0,"",IF($B473="","Missing symbol",IF($D473="","Missing action",IF(AND(LOWER($D473)="sell",$E473&gt;IFERROR(LOOKUP(2,1/($B$1:B472=B473),$O$1:O472),0)),"Sold more units than available","OK"))))</x:f>
      </x:c>
    </x:row>
    <x:row r="474">
      <x:c r="M474" t="str">
        <x:f>IF(COUNTA($A474:$D474)=0,"",IF($G474&lt;&gt;"",$G474,IF(AND($E474&lt;&gt;"",$F474&lt;&gt;""),$E474*$F474,""))*IF($J474&lt;&gt;"",$J474,1))</x:f>
      </x:c>
      <x:c r="N474" t="str">
        <x:f>IF(COUNTA($A474:$D474)=0,"",IF($H474&lt;&gt;"",$H474,0)*IF($J474&lt;&gt;"",$J474,1))</x:f>
      </x:c>
      <x:c r="O474" t="str">
        <x:f>IF(COUNTA($A474:$D474)=0,"",SWITCH(LOWER($D474),"buy",IFERROR(LOOKUP(2,1/($B$1:B473=B474),$O$1:O473),0)+$E474,"drip",IFERROR(LOOKUP(2,1/($B$1:B473=B474),$O$1:O473),0)+$E474,"sell",IFERROR(LOOKUP(2,1/($B$1:B473=B474),$O$1:O473),0)-$E474,"return_of_capital",IFERROR(LOOKUP(2,1/($B$1:B473=B474),$O$1:O473),0),"split",$E474,IFERROR(LOOKUP(2,1/($B$1:B473=B474),$O$1:O473),0)))</x:f>
      </x:c>
      <x:c r="P474" t="str">
        <x:f>IF(COUNTA($A474:$D474)=0,"",SWITCH(LOWER($D474),"buy",IFERROR(LOOKUP(2,1/($B$1:B473=B474),$P$1:P473),0)+$M474+$N474,"drip",IFERROR(LOOKUP(2,1/($B$1:B473=B474),$P$1:P473),0)+$M474+$N474,"sell",IFERROR(LOOKUP(2,1/($B$1:B473=B474),$P$1:P473),0)-IFERROR(IFERROR(LOOKUP(2,1/($B$1:B473=B474),$P$1:P473),0)/IFERROR(LOOKUP(2,1/($B$1:B473=B474),$O$1:O473),0)*$E474,0),"return_of_capital",IFERROR(LOOKUP(2,1/($B$1:B473=B474),$P$1:P473),0)-ABS($M474),"split",IFERROR(LOOKUP(2,1/($B$1:B473=B474),$P$1:P473),0),IFERROR(LOOKUP(2,1/($B$1:B473=B474),$P$1:P473),0)))</x:f>
      </x:c>
      <x:c r="Q474" t="str">
        <x:f>IFERROR($P474/$O474,"")</x:f>
      </x:c>
      <x:c r="R474" t="str">
        <x:f>IF(LOWER($D474)="sell",$M474-$N474-IFERROR(IFERROR(LOOKUP(2,1/($B$1:B473=B474),$P$1:P473),0)/IFERROR(LOOKUP(2,1/($B$1:B473=B474),$O$1:O473),0)*$E474,0),"")</x:f>
      </x:c>
      <x:c r="S474" t="str">
        <x:f>IF(COUNTA($A474:$D474)=0,"",IF($B474="","Missing symbol",IF($D474="","Missing action",IF(AND(LOWER($D474)="sell",$E474&gt;IFERROR(LOOKUP(2,1/($B$1:B473=B474),$O$1:O473),0)),"Sold more units than available","OK"))))</x:f>
      </x:c>
    </x:row>
    <x:row r="475">
      <x:c r="M475" t="str">
        <x:f>IF(COUNTA($A475:$D475)=0,"",IF($G475&lt;&gt;"",$G475,IF(AND($E475&lt;&gt;"",$F475&lt;&gt;""),$E475*$F475,""))*IF($J475&lt;&gt;"",$J475,1))</x:f>
      </x:c>
      <x:c r="N475" t="str">
        <x:f>IF(COUNTA($A475:$D475)=0,"",IF($H475&lt;&gt;"",$H475,0)*IF($J475&lt;&gt;"",$J475,1))</x:f>
      </x:c>
      <x:c r="O475" t="str">
        <x:f>IF(COUNTA($A475:$D475)=0,"",SWITCH(LOWER($D475),"buy",IFERROR(LOOKUP(2,1/($B$1:B474=B475),$O$1:O474),0)+$E475,"drip",IFERROR(LOOKUP(2,1/($B$1:B474=B475),$O$1:O474),0)+$E475,"sell",IFERROR(LOOKUP(2,1/($B$1:B474=B475),$O$1:O474),0)-$E475,"return_of_capital",IFERROR(LOOKUP(2,1/($B$1:B474=B475),$O$1:O474),0),"split",$E475,IFERROR(LOOKUP(2,1/($B$1:B474=B475),$O$1:O474),0)))</x:f>
      </x:c>
      <x:c r="P475" t="str">
        <x:f>IF(COUNTA($A475:$D475)=0,"",SWITCH(LOWER($D475),"buy",IFERROR(LOOKUP(2,1/($B$1:B474=B475),$P$1:P474),0)+$M475+$N475,"drip",IFERROR(LOOKUP(2,1/($B$1:B474=B475),$P$1:P474),0)+$M475+$N475,"sell",IFERROR(LOOKUP(2,1/($B$1:B474=B475),$P$1:P474),0)-IFERROR(IFERROR(LOOKUP(2,1/($B$1:B474=B475),$P$1:P474),0)/IFERROR(LOOKUP(2,1/($B$1:B474=B475),$O$1:O474),0)*$E475,0),"return_of_capital",IFERROR(LOOKUP(2,1/($B$1:B474=B475),$P$1:P474),0)-ABS($M475),"split",IFERROR(LOOKUP(2,1/($B$1:B474=B475),$P$1:P474),0),IFERROR(LOOKUP(2,1/($B$1:B474=B475),$P$1:P474),0)))</x:f>
      </x:c>
      <x:c r="Q475" t="str">
        <x:f>IFERROR($P475/$O475,"")</x:f>
      </x:c>
      <x:c r="R475" t="str">
        <x:f>IF(LOWER($D475)="sell",$M475-$N475-IFERROR(IFERROR(LOOKUP(2,1/($B$1:B474=B475),$P$1:P474),0)/IFERROR(LOOKUP(2,1/($B$1:B474=B475),$O$1:O474),0)*$E475,0),"")</x:f>
      </x:c>
      <x:c r="S475" t="str">
        <x:f>IF(COUNTA($A475:$D475)=0,"",IF($B475="","Missing symbol",IF($D475="","Missing action",IF(AND(LOWER($D475)="sell",$E475&gt;IFERROR(LOOKUP(2,1/($B$1:B474=B475),$O$1:O474),0)),"Sold more units than available","OK"))))</x:f>
      </x:c>
    </x:row>
    <x:row r="476">
      <x:c r="M476" t="str">
        <x:f>IF(COUNTA($A476:$D476)=0,"",IF($G476&lt;&gt;"",$G476,IF(AND($E476&lt;&gt;"",$F476&lt;&gt;""),$E476*$F476,""))*IF($J476&lt;&gt;"",$J476,1))</x:f>
      </x:c>
      <x:c r="N476" t="str">
        <x:f>IF(COUNTA($A476:$D476)=0,"",IF($H476&lt;&gt;"",$H476,0)*IF($J476&lt;&gt;"",$J476,1))</x:f>
      </x:c>
      <x:c r="O476" t="str">
        <x:f>IF(COUNTA($A476:$D476)=0,"",SWITCH(LOWER($D476),"buy",IFERROR(LOOKUP(2,1/($B$1:B475=B476),$O$1:O475),0)+$E476,"drip",IFERROR(LOOKUP(2,1/($B$1:B475=B476),$O$1:O475),0)+$E476,"sell",IFERROR(LOOKUP(2,1/($B$1:B475=B476),$O$1:O475),0)-$E476,"return_of_capital",IFERROR(LOOKUP(2,1/($B$1:B475=B476),$O$1:O475),0),"split",$E476,IFERROR(LOOKUP(2,1/($B$1:B475=B476),$O$1:O475),0)))</x:f>
      </x:c>
      <x:c r="P476" t="str">
        <x:f>IF(COUNTA($A476:$D476)=0,"",SWITCH(LOWER($D476),"buy",IFERROR(LOOKUP(2,1/($B$1:B475=B476),$P$1:P475),0)+$M476+$N476,"drip",IFERROR(LOOKUP(2,1/($B$1:B475=B476),$P$1:P475),0)+$M476+$N476,"sell",IFERROR(LOOKUP(2,1/($B$1:B475=B476),$P$1:P475),0)-IFERROR(IFERROR(LOOKUP(2,1/($B$1:B475=B476),$P$1:P475),0)/IFERROR(LOOKUP(2,1/($B$1:B475=B476),$O$1:O475),0)*$E476,0),"return_of_capital",IFERROR(LOOKUP(2,1/($B$1:B475=B476),$P$1:P475),0)-ABS($M476),"split",IFERROR(LOOKUP(2,1/($B$1:B475=B476),$P$1:P475),0),IFERROR(LOOKUP(2,1/($B$1:B475=B476),$P$1:P475),0)))</x:f>
      </x:c>
      <x:c r="Q476" t="str">
        <x:f>IFERROR($P476/$O476,"")</x:f>
      </x:c>
      <x:c r="R476" t="str">
        <x:f>IF(LOWER($D476)="sell",$M476-$N476-IFERROR(IFERROR(LOOKUP(2,1/($B$1:B475=B476),$P$1:P475),0)/IFERROR(LOOKUP(2,1/($B$1:B475=B476),$O$1:O475),0)*$E476,0),"")</x:f>
      </x:c>
      <x:c r="S476" t="str">
        <x:f>IF(COUNTA($A476:$D476)=0,"",IF($B476="","Missing symbol",IF($D476="","Missing action",IF(AND(LOWER($D476)="sell",$E476&gt;IFERROR(LOOKUP(2,1/($B$1:B475=B476),$O$1:O475),0)),"Sold more units than available","OK"))))</x:f>
      </x:c>
    </x:row>
    <x:row r="477">
      <x:c r="M477" t="str">
        <x:f>IF(COUNTA($A477:$D477)=0,"",IF($G477&lt;&gt;"",$G477,IF(AND($E477&lt;&gt;"",$F477&lt;&gt;""),$E477*$F477,""))*IF($J477&lt;&gt;"",$J477,1))</x:f>
      </x:c>
      <x:c r="N477" t="str">
        <x:f>IF(COUNTA($A477:$D477)=0,"",IF($H477&lt;&gt;"",$H477,0)*IF($J477&lt;&gt;"",$J477,1))</x:f>
      </x:c>
      <x:c r="O477" t="str">
        <x:f>IF(COUNTA($A477:$D477)=0,"",SWITCH(LOWER($D477),"buy",IFERROR(LOOKUP(2,1/($B$1:B476=B477),$O$1:O476),0)+$E477,"drip",IFERROR(LOOKUP(2,1/($B$1:B476=B477),$O$1:O476),0)+$E477,"sell",IFERROR(LOOKUP(2,1/($B$1:B476=B477),$O$1:O476),0)-$E477,"return_of_capital",IFERROR(LOOKUP(2,1/($B$1:B476=B477),$O$1:O476),0),"split",$E477,IFERROR(LOOKUP(2,1/($B$1:B476=B477),$O$1:O476),0)))</x:f>
      </x:c>
      <x:c r="P477" t="str">
        <x:f>IF(COUNTA($A477:$D477)=0,"",SWITCH(LOWER($D477),"buy",IFERROR(LOOKUP(2,1/($B$1:B476=B477),$P$1:P476),0)+$M477+$N477,"drip",IFERROR(LOOKUP(2,1/($B$1:B476=B477),$P$1:P476),0)+$M477+$N477,"sell",IFERROR(LOOKUP(2,1/($B$1:B476=B477),$P$1:P476),0)-IFERROR(IFERROR(LOOKUP(2,1/($B$1:B476=B477),$P$1:P476),0)/IFERROR(LOOKUP(2,1/($B$1:B476=B477),$O$1:O476),0)*$E477,0),"return_of_capital",IFERROR(LOOKUP(2,1/($B$1:B476=B477),$P$1:P476),0)-ABS($M477),"split",IFERROR(LOOKUP(2,1/($B$1:B476=B477),$P$1:P476),0),IFERROR(LOOKUP(2,1/($B$1:B476=B477),$P$1:P476),0)))</x:f>
      </x:c>
      <x:c r="Q477" t="str">
        <x:f>IFERROR($P477/$O477,"")</x:f>
      </x:c>
      <x:c r="R477" t="str">
        <x:f>IF(LOWER($D477)="sell",$M477-$N477-IFERROR(IFERROR(LOOKUP(2,1/($B$1:B476=B477),$P$1:P476),0)/IFERROR(LOOKUP(2,1/($B$1:B476=B477),$O$1:O476),0)*$E477,0),"")</x:f>
      </x:c>
      <x:c r="S477" t="str">
        <x:f>IF(COUNTA($A477:$D477)=0,"",IF($B477="","Missing symbol",IF($D477="","Missing action",IF(AND(LOWER($D477)="sell",$E477&gt;IFERROR(LOOKUP(2,1/($B$1:B476=B477),$O$1:O476),0)),"Sold more units than available","OK"))))</x:f>
      </x:c>
    </x:row>
    <x:row r="478">
      <x:c r="M478" t="str">
        <x:f>IF(COUNTA($A478:$D478)=0,"",IF($G478&lt;&gt;"",$G478,IF(AND($E478&lt;&gt;"",$F478&lt;&gt;""),$E478*$F478,""))*IF($J478&lt;&gt;"",$J478,1))</x:f>
      </x:c>
      <x:c r="N478" t="str">
        <x:f>IF(COUNTA($A478:$D478)=0,"",IF($H478&lt;&gt;"",$H478,0)*IF($J478&lt;&gt;"",$J478,1))</x:f>
      </x:c>
      <x:c r="O478" t="str">
        <x:f>IF(COUNTA($A478:$D478)=0,"",SWITCH(LOWER($D478),"buy",IFERROR(LOOKUP(2,1/($B$1:B477=B478),$O$1:O477),0)+$E478,"drip",IFERROR(LOOKUP(2,1/($B$1:B477=B478),$O$1:O477),0)+$E478,"sell",IFERROR(LOOKUP(2,1/($B$1:B477=B478),$O$1:O477),0)-$E478,"return_of_capital",IFERROR(LOOKUP(2,1/($B$1:B477=B478),$O$1:O477),0),"split",$E478,IFERROR(LOOKUP(2,1/($B$1:B477=B478),$O$1:O477),0)))</x:f>
      </x:c>
      <x:c r="P478" t="str">
        <x:f>IF(COUNTA($A478:$D478)=0,"",SWITCH(LOWER($D478),"buy",IFERROR(LOOKUP(2,1/($B$1:B477=B478),$P$1:P477),0)+$M478+$N478,"drip",IFERROR(LOOKUP(2,1/($B$1:B477=B478),$P$1:P477),0)+$M478+$N478,"sell",IFERROR(LOOKUP(2,1/($B$1:B477=B478),$P$1:P477),0)-IFERROR(IFERROR(LOOKUP(2,1/($B$1:B477=B478),$P$1:P477),0)/IFERROR(LOOKUP(2,1/($B$1:B477=B478),$O$1:O477),0)*$E478,0),"return_of_capital",IFERROR(LOOKUP(2,1/($B$1:B477=B478),$P$1:P477),0)-ABS($M478),"split",IFERROR(LOOKUP(2,1/($B$1:B477=B478),$P$1:P477),0),IFERROR(LOOKUP(2,1/($B$1:B477=B478),$P$1:P477),0)))</x:f>
      </x:c>
      <x:c r="Q478" t="str">
        <x:f>IFERROR($P478/$O478,"")</x:f>
      </x:c>
      <x:c r="R478" t="str">
        <x:f>IF(LOWER($D478)="sell",$M478-$N478-IFERROR(IFERROR(LOOKUP(2,1/($B$1:B477=B478),$P$1:P477),0)/IFERROR(LOOKUP(2,1/($B$1:B477=B478),$O$1:O477),0)*$E478,0),"")</x:f>
      </x:c>
      <x:c r="S478" t="str">
        <x:f>IF(COUNTA($A478:$D478)=0,"",IF($B478="","Missing symbol",IF($D478="","Missing action",IF(AND(LOWER($D478)="sell",$E478&gt;IFERROR(LOOKUP(2,1/($B$1:B477=B478),$O$1:O477),0)),"Sold more units than available","OK"))))</x:f>
      </x:c>
    </x:row>
    <x:row r="479">
      <x:c r="M479" t="str">
        <x:f>IF(COUNTA($A479:$D479)=0,"",IF($G479&lt;&gt;"",$G479,IF(AND($E479&lt;&gt;"",$F479&lt;&gt;""),$E479*$F479,""))*IF($J479&lt;&gt;"",$J479,1))</x:f>
      </x:c>
      <x:c r="N479" t="str">
        <x:f>IF(COUNTA($A479:$D479)=0,"",IF($H479&lt;&gt;"",$H479,0)*IF($J479&lt;&gt;"",$J479,1))</x:f>
      </x:c>
      <x:c r="O479" t="str">
        <x:f>IF(COUNTA($A479:$D479)=0,"",SWITCH(LOWER($D479),"buy",IFERROR(LOOKUP(2,1/($B$1:B478=B479),$O$1:O478),0)+$E479,"drip",IFERROR(LOOKUP(2,1/($B$1:B478=B479),$O$1:O478),0)+$E479,"sell",IFERROR(LOOKUP(2,1/($B$1:B478=B479),$O$1:O478),0)-$E479,"return_of_capital",IFERROR(LOOKUP(2,1/($B$1:B478=B479),$O$1:O478),0),"split",$E479,IFERROR(LOOKUP(2,1/($B$1:B478=B479),$O$1:O478),0)))</x:f>
      </x:c>
      <x:c r="P479" t="str">
        <x:f>IF(COUNTA($A479:$D479)=0,"",SWITCH(LOWER($D479),"buy",IFERROR(LOOKUP(2,1/($B$1:B478=B479),$P$1:P478),0)+$M479+$N479,"drip",IFERROR(LOOKUP(2,1/($B$1:B478=B479),$P$1:P478),0)+$M479+$N479,"sell",IFERROR(LOOKUP(2,1/($B$1:B478=B479),$P$1:P478),0)-IFERROR(IFERROR(LOOKUP(2,1/($B$1:B478=B479),$P$1:P478),0)/IFERROR(LOOKUP(2,1/($B$1:B478=B479),$O$1:O478),0)*$E479,0),"return_of_capital",IFERROR(LOOKUP(2,1/($B$1:B478=B479),$P$1:P478),0)-ABS($M479),"split",IFERROR(LOOKUP(2,1/($B$1:B478=B479),$P$1:P478),0),IFERROR(LOOKUP(2,1/($B$1:B478=B479),$P$1:P478),0)))</x:f>
      </x:c>
      <x:c r="Q479" t="str">
        <x:f>IFERROR($P479/$O479,"")</x:f>
      </x:c>
      <x:c r="R479" t="str">
        <x:f>IF(LOWER($D479)="sell",$M479-$N479-IFERROR(IFERROR(LOOKUP(2,1/($B$1:B478=B479),$P$1:P478),0)/IFERROR(LOOKUP(2,1/($B$1:B478=B479),$O$1:O478),0)*$E479,0),"")</x:f>
      </x:c>
      <x:c r="S479" t="str">
        <x:f>IF(COUNTA($A479:$D479)=0,"",IF($B479="","Missing symbol",IF($D479="","Missing action",IF(AND(LOWER($D479)="sell",$E479&gt;IFERROR(LOOKUP(2,1/($B$1:B478=B479),$O$1:O478),0)),"Sold more units than available","OK"))))</x:f>
      </x:c>
    </x:row>
    <x:row r="480">
      <x:c r="M480" t="str">
        <x:f>IF(COUNTA($A480:$D480)=0,"",IF($G480&lt;&gt;"",$G480,IF(AND($E480&lt;&gt;"",$F480&lt;&gt;""),$E480*$F480,""))*IF($J480&lt;&gt;"",$J480,1))</x:f>
      </x:c>
      <x:c r="N480" t="str">
        <x:f>IF(COUNTA($A480:$D480)=0,"",IF($H480&lt;&gt;"",$H480,0)*IF($J480&lt;&gt;"",$J480,1))</x:f>
      </x:c>
      <x:c r="O480" t="str">
        <x:f>IF(COUNTA($A480:$D480)=0,"",SWITCH(LOWER($D480),"buy",IFERROR(LOOKUP(2,1/($B$1:B479=B480),$O$1:O479),0)+$E480,"drip",IFERROR(LOOKUP(2,1/($B$1:B479=B480),$O$1:O479),0)+$E480,"sell",IFERROR(LOOKUP(2,1/($B$1:B479=B480),$O$1:O479),0)-$E480,"return_of_capital",IFERROR(LOOKUP(2,1/($B$1:B479=B480),$O$1:O479),0),"split",$E480,IFERROR(LOOKUP(2,1/($B$1:B479=B480),$O$1:O479),0)))</x:f>
      </x:c>
      <x:c r="P480" t="str">
        <x:f>IF(COUNTA($A480:$D480)=0,"",SWITCH(LOWER($D480),"buy",IFERROR(LOOKUP(2,1/($B$1:B479=B480),$P$1:P479),0)+$M480+$N480,"drip",IFERROR(LOOKUP(2,1/($B$1:B479=B480),$P$1:P479),0)+$M480+$N480,"sell",IFERROR(LOOKUP(2,1/($B$1:B479=B480),$P$1:P479),0)-IFERROR(IFERROR(LOOKUP(2,1/($B$1:B479=B480),$P$1:P479),0)/IFERROR(LOOKUP(2,1/($B$1:B479=B480),$O$1:O479),0)*$E480,0),"return_of_capital",IFERROR(LOOKUP(2,1/($B$1:B479=B480),$P$1:P479),0)-ABS($M480),"split",IFERROR(LOOKUP(2,1/($B$1:B479=B480),$P$1:P479),0),IFERROR(LOOKUP(2,1/($B$1:B479=B480),$P$1:P479),0)))</x:f>
      </x:c>
      <x:c r="Q480" t="str">
        <x:f>IFERROR($P480/$O480,"")</x:f>
      </x:c>
      <x:c r="R480" t="str">
        <x:f>IF(LOWER($D480)="sell",$M480-$N480-IFERROR(IFERROR(LOOKUP(2,1/($B$1:B479=B480),$P$1:P479),0)/IFERROR(LOOKUP(2,1/($B$1:B479=B480),$O$1:O479),0)*$E480,0),"")</x:f>
      </x:c>
      <x:c r="S480" t="str">
        <x:f>IF(COUNTA($A480:$D480)=0,"",IF($B480="","Missing symbol",IF($D480="","Missing action",IF(AND(LOWER($D480)="sell",$E480&gt;IFERROR(LOOKUP(2,1/($B$1:B479=B480),$O$1:O479),0)),"Sold more units than available","OK"))))</x:f>
      </x:c>
    </x:row>
    <x:row r="481">
      <x:c r="M481" t="str">
        <x:f>IF(COUNTA($A481:$D481)=0,"",IF($G481&lt;&gt;"",$G481,IF(AND($E481&lt;&gt;"",$F481&lt;&gt;""),$E481*$F481,""))*IF($J481&lt;&gt;"",$J481,1))</x:f>
      </x:c>
      <x:c r="N481" t="str">
        <x:f>IF(COUNTA($A481:$D481)=0,"",IF($H481&lt;&gt;"",$H481,0)*IF($J481&lt;&gt;"",$J481,1))</x:f>
      </x:c>
      <x:c r="O481" t="str">
        <x:f>IF(COUNTA($A481:$D481)=0,"",SWITCH(LOWER($D481),"buy",IFERROR(LOOKUP(2,1/($B$1:B480=B481),$O$1:O480),0)+$E481,"drip",IFERROR(LOOKUP(2,1/($B$1:B480=B481),$O$1:O480),0)+$E481,"sell",IFERROR(LOOKUP(2,1/($B$1:B480=B481),$O$1:O480),0)-$E481,"return_of_capital",IFERROR(LOOKUP(2,1/($B$1:B480=B481),$O$1:O480),0),"split",$E481,IFERROR(LOOKUP(2,1/($B$1:B480=B481),$O$1:O480),0)))</x:f>
      </x:c>
      <x:c r="P481" t="str">
        <x:f>IF(COUNTA($A481:$D481)=0,"",SWITCH(LOWER($D481),"buy",IFERROR(LOOKUP(2,1/($B$1:B480=B481),$P$1:P480),0)+$M481+$N481,"drip",IFERROR(LOOKUP(2,1/($B$1:B480=B481),$P$1:P480),0)+$M481+$N481,"sell",IFERROR(LOOKUP(2,1/($B$1:B480=B481),$P$1:P480),0)-IFERROR(IFERROR(LOOKUP(2,1/($B$1:B480=B481),$P$1:P480),0)/IFERROR(LOOKUP(2,1/($B$1:B480=B481),$O$1:O480),0)*$E481,0),"return_of_capital",IFERROR(LOOKUP(2,1/($B$1:B480=B481),$P$1:P480),0)-ABS($M481),"split",IFERROR(LOOKUP(2,1/($B$1:B480=B481),$P$1:P480),0),IFERROR(LOOKUP(2,1/($B$1:B480=B481),$P$1:P480),0)))</x:f>
      </x:c>
      <x:c r="Q481" t="str">
        <x:f>IFERROR($P481/$O481,"")</x:f>
      </x:c>
      <x:c r="R481" t="str">
        <x:f>IF(LOWER($D481)="sell",$M481-$N481-IFERROR(IFERROR(LOOKUP(2,1/($B$1:B480=B481),$P$1:P480),0)/IFERROR(LOOKUP(2,1/($B$1:B480=B481),$O$1:O480),0)*$E481,0),"")</x:f>
      </x:c>
      <x:c r="S481" t="str">
        <x:f>IF(COUNTA($A481:$D481)=0,"",IF($B481="","Missing symbol",IF($D481="","Missing action",IF(AND(LOWER($D481)="sell",$E481&gt;IFERROR(LOOKUP(2,1/($B$1:B480=B481),$O$1:O480),0)),"Sold more units than available","OK"))))</x:f>
      </x:c>
    </x:row>
    <x:row r="482">
      <x:c r="M482" t="str">
        <x:f>IF(COUNTA($A482:$D482)=0,"",IF($G482&lt;&gt;"",$G482,IF(AND($E482&lt;&gt;"",$F482&lt;&gt;""),$E482*$F482,""))*IF($J482&lt;&gt;"",$J482,1))</x:f>
      </x:c>
      <x:c r="N482" t="str">
        <x:f>IF(COUNTA($A482:$D482)=0,"",IF($H482&lt;&gt;"",$H482,0)*IF($J482&lt;&gt;"",$J482,1))</x:f>
      </x:c>
      <x:c r="O482" t="str">
        <x:f>IF(COUNTA($A482:$D482)=0,"",SWITCH(LOWER($D482),"buy",IFERROR(LOOKUP(2,1/($B$1:B481=B482),$O$1:O481),0)+$E482,"drip",IFERROR(LOOKUP(2,1/($B$1:B481=B482),$O$1:O481),0)+$E482,"sell",IFERROR(LOOKUP(2,1/($B$1:B481=B482),$O$1:O481),0)-$E482,"return_of_capital",IFERROR(LOOKUP(2,1/($B$1:B481=B482),$O$1:O481),0),"split",$E482,IFERROR(LOOKUP(2,1/($B$1:B481=B482),$O$1:O481),0)))</x:f>
      </x:c>
      <x:c r="P482" t="str">
        <x:f>IF(COUNTA($A482:$D482)=0,"",SWITCH(LOWER($D482),"buy",IFERROR(LOOKUP(2,1/($B$1:B481=B482),$P$1:P481),0)+$M482+$N482,"drip",IFERROR(LOOKUP(2,1/($B$1:B481=B482),$P$1:P481),0)+$M482+$N482,"sell",IFERROR(LOOKUP(2,1/($B$1:B481=B482),$P$1:P481),0)-IFERROR(IFERROR(LOOKUP(2,1/($B$1:B481=B482),$P$1:P481),0)/IFERROR(LOOKUP(2,1/($B$1:B481=B482),$O$1:O481),0)*$E482,0),"return_of_capital",IFERROR(LOOKUP(2,1/($B$1:B481=B482),$P$1:P481),0)-ABS($M482),"split",IFERROR(LOOKUP(2,1/($B$1:B481=B482),$P$1:P481),0),IFERROR(LOOKUP(2,1/($B$1:B481=B482),$P$1:P481),0)))</x:f>
      </x:c>
      <x:c r="Q482" t="str">
        <x:f>IFERROR($P482/$O482,"")</x:f>
      </x:c>
      <x:c r="R482" t="str">
        <x:f>IF(LOWER($D482)="sell",$M482-$N482-IFERROR(IFERROR(LOOKUP(2,1/($B$1:B481=B482),$P$1:P481),0)/IFERROR(LOOKUP(2,1/($B$1:B481=B482),$O$1:O481),0)*$E482,0),"")</x:f>
      </x:c>
      <x:c r="S482" t="str">
        <x:f>IF(COUNTA($A482:$D482)=0,"",IF($B482="","Missing symbol",IF($D482="","Missing action",IF(AND(LOWER($D482)="sell",$E482&gt;IFERROR(LOOKUP(2,1/($B$1:B481=B482),$O$1:O481),0)),"Sold more units than available","OK"))))</x:f>
      </x:c>
    </x:row>
    <x:row r="483">
      <x:c r="M483" t="str">
        <x:f>IF(COUNTA($A483:$D483)=0,"",IF($G483&lt;&gt;"",$G483,IF(AND($E483&lt;&gt;"",$F483&lt;&gt;""),$E483*$F483,""))*IF($J483&lt;&gt;"",$J483,1))</x:f>
      </x:c>
      <x:c r="N483" t="str">
        <x:f>IF(COUNTA($A483:$D483)=0,"",IF($H483&lt;&gt;"",$H483,0)*IF($J483&lt;&gt;"",$J483,1))</x:f>
      </x:c>
      <x:c r="O483" t="str">
        <x:f>IF(COUNTA($A483:$D483)=0,"",SWITCH(LOWER($D483),"buy",IFERROR(LOOKUP(2,1/($B$1:B482=B483),$O$1:O482),0)+$E483,"drip",IFERROR(LOOKUP(2,1/($B$1:B482=B483),$O$1:O482),0)+$E483,"sell",IFERROR(LOOKUP(2,1/($B$1:B482=B483),$O$1:O482),0)-$E483,"return_of_capital",IFERROR(LOOKUP(2,1/($B$1:B482=B483),$O$1:O482),0),"split",$E483,IFERROR(LOOKUP(2,1/($B$1:B482=B483),$O$1:O482),0)))</x:f>
      </x:c>
      <x:c r="P483" t="str">
        <x:f>IF(COUNTA($A483:$D483)=0,"",SWITCH(LOWER($D483),"buy",IFERROR(LOOKUP(2,1/($B$1:B482=B483),$P$1:P482),0)+$M483+$N483,"drip",IFERROR(LOOKUP(2,1/($B$1:B482=B483),$P$1:P482),0)+$M483+$N483,"sell",IFERROR(LOOKUP(2,1/($B$1:B482=B483),$P$1:P482),0)-IFERROR(IFERROR(LOOKUP(2,1/($B$1:B482=B483),$P$1:P482),0)/IFERROR(LOOKUP(2,1/($B$1:B482=B483),$O$1:O482),0)*$E483,0),"return_of_capital",IFERROR(LOOKUP(2,1/($B$1:B482=B483),$P$1:P482),0)-ABS($M483),"split",IFERROR(LOOKUP(2,1/($B$1:B482=B483),$P$1:P482),0),IFERROR(LOOKUP(2,1/($B$1:B482=B483),$P$1:P482),0)))</x:f>
      </x:c>
      <x:c r="Q483" t="str">
        <x:f>IFERROR($P483/$O483,"")</x:f>
      </x:c>
      <x:c r="R483" t="str">
        <x:f>IF(LOWER($D483)="sell",$M483-$N483-IFERROR(IFERROR(LOOKUP(2,1/($B$1:B482=B483),$P$1:P482),0)/IFERROR(LOOKUP(2,1/($B$1:B482=B483),$O$1:O482),0)*$E483,0),"")</x:f>
      </x:c>
      <x:c r="S483" t="str">
        <x:f>IF(COUNTA($A483:$D483)=0,"",IF($B483="","Missing symbol",IF($D483="","Missing action",IF(AND(LOWER($D483)="sell",$E483&gt;IFERROR(LOOKUP(2,1/($B$1:B482=B483),$O$1:O482),0)),"Sold more units than available","OK"))))</x:f>
      </x:c>
    </x:row>
    <x:row r="484">
      <x:c r="M484" t="str">
        <x:f>IF(COUNTA($A484:$D484)=0,"",IF($G484&lt;&gt;"",$G484,IF(AND($E484&lt;&gt;"",$F484&lt;&gt;""),$E484*$F484,""))*IF($J484&lt;&gt;"",$J484,1))</x:f>
      </x:c>
      <x:c r="N484" t="str">
        <x:f>IF(COUNTA($A484:$D484)=0,"",IF($H484&lt;&gt;"",$H484,0)*IF($J484&lt;&gt;"",$J484,1))</x:f>
      </x:c>
      <x:c r="O484" t="str">
        <x:f>IF(COUNTA($A484:$D484)=0,"",SWITCH(LOWER($D484),"buy",IFERROR(LOOKUP(2,1/($B$1:B483=B484),$O$1:O483),0)+$E484,"drip",IFERROR(LOOKUP(2,1/($B$1:B483=B484),$O$1:O483),0)+$E484,"sell",IFERROR(LOOKUP(2,1/($B$1:B483=B484),$O$1:O483),0)-$E484,"return_of_capital",IFERROR(LOOKUP(2,1/($B$1:B483=B484),$O$1:O483),0),"split",$E484,IFERROR(LOOKUP(2,1/($B$1:B483=B484),$O$1:O483),0)))</x:f>
      </x:c>
      <x:c r="P484" t="str">
        <x:f>IF(COUNTA($A484:$D484)=0,"",SWITCH(LOWER($D484),"buy",IFERROR(LOOKUP(2,1/($B$1:B483=B484),$P$1:P483),0)+$M484+$N484,"drip",IFERROR(LOOKUP(2,1/($B$1:B483=B484),$P$1:P483),0)+$M484+$N484,"sell",IFERROR(LOOKUP(2,1/($B$1:B483=B484),$P$1:P483),0)-IFERROR(IFERROR(LOOKUP(2,1/($B$1:B483=B484),$P$1:P483),0)/IFERROR(LOOKUP(2,1/($B$1:B483=B484),$O$1:O483),0)*$E484,0),"return_of_capital",IFERROR(LOOKUP(2,1/($B$1:B483=B484),$P$1:P483),0)-ABS($M484),"split",IFERROR(LOOKUP(2,1/($B$1:B483=B484),$P$1:P483),0),IFERROR(LOOKUP(2,1/($B$1:B483=B484),$P$1:P483),0)))</x:f>
      </x:c>
      <x:c r="Q484" t="str">
        <x:f>IFERROR($P484/$O484,"")</x:f>
      </x:c>
      <x:c r="R484" t="str">
        <x:f>IF(LOWER($D484)="sell",$M484-$N484-IFERROR(IFERROR(LOOKUP(2,1/($B$1:B483=B484),$P$1:P483),0)/IFERROR(LOOKUP(2,1/($B$1:B483=B484),$O$1:O483),0)*$E484,0),"")</x:f>
      </x:c>
      <x:c r="S484" t="str">
        <x:f>IF(COUNTA($A484:$D484)=0,"",IF($B484="","Missing symbol",IF($D484="","Missing action",IF(AND(LOWER($D484)="sell",$E484&gt;IFERROR(LOOKUP(2,1/($B$1:B483=B484),$O$1:O483),0)),"Sold more units than available","OK"))))</x:f>
      </x:c>
    </x:row>
    <x:row r="485">
      <x:c r="M485" t="str">
        <x:f>IF(COUNTA($A485:$D485)=0,"",IF($G485&lt;&gt;"",$G485,IF(AND($E485&lt;&gt;"",$F485&lt;&gt;""),$E485*$F485,""))*IF($J485&lt;&gt;"",$J485,1))</x:f>
      </x:c>
      <x:c r="N485" t="str">
        <x:f>IF(COUNTA($A485:$D485)=0,"",IF($H485&lt;&gt;"",$H485,0)*IF($J485&lt;&gt;"",$J485,1))</x:f>
      </x:c>
      <x:c r="O485" t="str">
        <x:f>IF(COUNTA($A485:$D485)=0,"",SWITCH(LOWER($D485),"buy",IFERROR(LOOKUP(2,1/($B$1:B484=B485),$O$1:O484),0)+$E485,"drip",IFERROR(LOOKUP(2,1/($B$1:B484=B485),$O$1:O484),0)+$E485,"sell",IFERROR(LOOKUP(2,1/($B$1:B484=B485),$O$1:O484),0)-$E485,"return_of_capital",IFERROR(LOOKUP(2,1/($B$1:B484=B485),$O$1:O484),0),"split",$E485,IFERROR(LOOKUP(2,1/($B$1:B484=B485),$O$1:O484),0)))</x:f>
      </x:c>
      <x:c r="P485" t="str">
        <x:f>IF(COUNTA($A485:$D485)=0,"",SWITCH(LOWER($D485),"buy",IFERROR(LOOKUP(2,1/($B$1:B484=B485),$P$1:P484),0)+$M485+$N485,"drip",IFERROR(LOOKUP(2,1/($B$1:B484=B485),$P$1:P484),0)+$M485+$N485,"sell",IFERROR(LOOKUP(2,1/($B$1:B484=B485),$P$1:P484),0)-IFERROR(IFERROR(LOOKUP(2,1/($B$1:B484=B485),$P$1:P484),0)/IFERROR(LOOKUP(2,1/($B$1:B484=B485),$O$1:O484),0)*$E485,0),"return_of_capital",IFERROR(LOOKUP(2,1/($B$1:B484=B485),$P$1:P484),0)-ABS($M485),"split",IFERROR(LOOKUP(2,1/($B$1:B484=B485),$P$1:P484),0),IFERROR(LOOKUP(2,1/($B$1:B484=B485),$P$1:P484),0)))</x:f>
      </x:c>
      <x:c r="Q485" t="str">
        <x:f>IFERROR($P485/$O485,"")</x:f>
      </x:c>
      <x:c r="R485" t="str">
        <x:f>IF(LOWER($D485)="sell",$M485-$N485-IFERROR(IFERROR(LOOKUP(2,1/($B$1:B484=B485),$P$1:P484),0)/IFERROR(LOOKUP(2,1/($B$1:B484=B485),$O$1:O484),0)*$E485,0),"")</x:f>
      </x:c>
      <x:c r="S485" t="str">
        <x:f>IF(COUNTA($A485:$D485)=0,"",IF($B485="","Missing symbol",IF($D485="","Missing action",IF(AND(LOWER($D485)="sell",$E485&gt;IFERROR(LOOKUP(2,1/($B$1:B484=B485),$O$1:O484),0)),"Sold more units than available","OK"))))</x:f>
      </x:c>
    </x:row>
    <x:row r="486">
      <x:c r="M486" t="str">
        <x:f>IF(COUNTA($A486:$D486)=0,"",IF($G486&lt;&gt;"",$G486,IF(AND($E486&lt;&gt;"",$F486&lt;&gt;""),$E486*$F486,""))*IF($J486&lt;&gt;"",$J486,1))</x:f>
      </x:c>
      <x:c r="N486" t="str">
        <x:f>IF(COUNTA($A486:$D486)=0,"",IF($H486&lt;&gt;"",$H486,0)*IF($J486&lt;&gt;"",$J486,1))</x:f>
      </x:c>
      <x:c r="O486" t="str">
        <x:f>IF(COUNTA($A486:$D486)=0,"",SWITCH(LOWER($D486),"buy",IFERROR(LOOKUP(2,1/($B$1:B485=B486),$O$1:O485),0)+$E486,"drip",IFERROR(LOOKUP(2,1/($B$1:B485=B486),$O$1:O485),0)+$E486,"sell",IFERROR(LOOKUP(2,1/($B$1:B485=B486),$O$1:O485),0)-$E486,"return_of_capital",IFERROR(LOOKUP(2,1/($B$1:B485=B486),$O$1:O485),0),"split",$E486,IFERROR(LOOKUP(2,1/($B$1:B485=B486),$O$1:O485),0)))</x:f>
      </x:c>
      <x:c r="P486" t="str">
        <x:f>IF(COUNTA($A486:$D486)=0,"",SWITCH(LOWER($D486),"buy",IFERROR(LOOKUP(2,1/($B$1:B485=B486),$P$1:P485),0)+$M486+$N486,"drip",IFERROR(LOOKUP(2,1/($B$1:B485=B486),$P$1:P485),0)+$M486+$N486,"sell",IFERROR(LOOKUP(2,1/($B$1:B485=B486),$P$1:P485),0)-IFERROR(IFERROR(LOOKUP(2,1/($B$1:B485=B486),$P$1:P485),0)/IFERROR(LOOKUP(2,1/($B$1:B485=B486),$O$1:O485),0)*$E486,0),"return_of_capital",IFERROR(LOOKUP(2,1/($B$1:B485=B486),$P$1:P485),0)-ABS($M486),"split",IFERROR(LOOKUP(2,1/($B$1:B485=B486),$P$1:P485),0),IFERROR(LOOKUP(2,1/($B$1:B485=B486),$P$1:P485),0)))</x:f>
      </x:c>
      <x:c r="Q486" t="str">
        <x:f>IFERROR($P486/$O486,"")</x:f>
      </x:c>
      <x:c r="R486" t="str">
        <x:f>IF(LOWER($D486)="sell",$M486-$N486-IFERROR(IFERROR(LOOKUP(2,1/($B$1:B485=B486),$P$1:P485),0)/IFERROR(LOOKUP(2,1/($B$1:B485=B486),$O$1:O485),0)*$E486,0),"")</x:f>
      </x:c>
      <x:c r="S486" t="str">
        <x:f>IF(COUNTA($A486:$D486)=0,"",IF($B486="","Missing symbol",IF($D486="","Missing action",IF(AND(LOWER($D486)="sell",$E486&gt;IFERROR(LOOKUP(2,1/($B$1:B485=B486),$O$1:O485),0)),"Sold more units than available","OK"))))</x:f>
      </x:c>
    </x:row>
    <x:row r="487">
      <x:c r="M487" t="str">
        <x:f>IF(COUNTA($A487:$D487)=0,"",IF($G487&lt;&gt;"",$G487,IF(AND($E487&lt;&gt;"",$F487&lt;&gt;""),$E487*$F487,""))*IF($J487&lt;&gt;"",$J487,1))</x:f>
      </x:c>
      <x:c r="N487" t="str">
        <x:f>IF(COUNTA($A487:$D487)=0,"",IF($H487&lt;&gt;"",$H487,0)*IF($J487&lt;&gt;"",$J487,1))</x:f>
      </x:c>
      <x:c r="O487" t="str">
        <x:f>IF(COUNTA($A487:$D487)=0,"",SWITCH(LOWER($D487),"buy",IFERROR(LOOKUP(2,1/($B$1:B486=B487),$O$1:O486),0)+$E487,"drip",IFERROR(LOOKUP(2,1/($B$1:B486=B487),$O$1:O486),0)+$E487,"sell",IFERROR(LOOKUP(2,1/($B$1:B486=B487),$O$1:O486),0)-$E487,"return_of_capital",IFERROR(LOOKUP(2,1/($B$1:B486=B487),$O$1:O486),0),"split",$E487,IFERROR(LOOKUP(2,1/($B$1:B486=B487),$O$1:O486),0)))</x:f>
      </x:c>
      <x:c r="P487" t="str">
        <x:f>IF(COUNTA($A487:$D487)=0,"",SWITCH(LOWER($D487),"buy",IFERROR(LOOKUP(2,1/($B$1:B486=B487),$P$1:P486),0)+$M487+$N487,"drip",IFERROR(LOOKUP(2,1/($B$1:B486=B487),$P$1:P486),0)+$M487+$N487,"sell",IFERROR(LOOKUP(2,1/($B$1:B486=B487),$P$1:P486),0)-IFERROR(IFERROR(LOOKUP(2,1/($B$1:B486=B487),$P$1:P486),0)/IFERROR(LOOKUP(2,1/($B$1:B486=B487),$O$1:O486),0)*$E487,0),"return_of_capital",IFERROR(LOOKUP(2,1/($B$1:B486=B487),$P$1:P486),0)-ABS($M487),"split",IFERROR(LOOKUP(2,1/($B$1:B486=B487),$P$1:P486),0),IFERROR(LOOKUP(2,1/($B$1:B486=B487),$P$1:P486),0)))</x:f>
      </x:c>
      <x:c r="Q487" t="str">
        <x:f>IFERROR($P487/$O487,"")</x:f>
      </x:c>
      <x:c r="R487" t="str">
        <x:f>IF(LOWER($D487)="sell",$M487-$N487-IFERROR(IFERROR(LOOKUP(2,1/($B$1:B486=B487),$P$1:P486),0)/IFERROR(LOOKUP(2,1/($B$1:B486=B487),$O$1:O486),0)*$E487,0),"")</x:f>
      </x:c>
      <x:c r="S487" t="str">
        <x:f>IF(COUNTA($A487:$D487)=0,"",IF($B487="","Missing symbol",IF($D487="","Missing action",IF(AND(LOWER($D487)="sell",$E487&gt;IFERROR(LOOKUP(2,1/($B$1:B486=B487),$O$1:O486),0)),"Sold more units than available","OK"))))</x:f>
      </x:c>
    </x:row>
    <x:row r="488">
      <x:c r="M488" t="str">
        <x:f>IF(COUNTA($A488:$D488)=0,"",IF($G488&lt;&gt;"",$G488,IF(AND($E488&lt;&gt;"",$F488&lt;&gt;""),$E488*$F488,""))*IF($J488&lt;&gt;"",$J488,1))</x:f>
      </x:c>
      <x:c r="N488" t="str">
        <x:f>IF(COUNTA($A488:$D488)=0,"",IF($H488&lt;&gt;"",$H488,0)*IF($J488&lt;&gt;"",$J488,1))</x:f>
      </x:c>
      <x:c r="O488" t="str">
        <x:f>IF(COUNTA($A488:$D488)=0,"",SWITCH(LOWER($D488),"buy",IFERROR(LOOKUP(2,1/($B$1:B487=B488),$O$1:O487),0)+$E488,"drip",IFERROR(LOOKUP(2,1/($B$1:B487=B488),$O$1:O487),0)+$E488,"sell",IFERROR(LOOKUP(2,1/($B$1:B487=B488),$O$1:O487),0)-$E488,"return_of_capital",IFERROR(LOOKUP(2,1/($B$1:B487=B488),$O$1:O487),0),"split",$E488,IFERROR(LOOKUP(2,1/($B$1:B487=B488),$O$1:O487),0)))</x:f>
      </x:c>
      <x:c r="P488" t="str">
        <x:f>IF(COUNTA($A488:$D488)=0,"",SWITCH(LOWER($D488),"buy",IFERROR(LOOKUP(2,1/($B$1:B487=B488),$P$1:P487),0)+$M488+$N488,"drip",IFERROR(LOOKUP(2,1/($B$1:B487=B488),$P$1:P487),0)+$M488+$N488,"sell",IFERROR(LOOKUP(2,1/($B$1:B487=B488),$P$1:P487),0)-IFERROR(IFERROR(LOOKUP(2,1/($B$1:B487=B488),$P$1:P487),0)/IFERROR(LOOKUP(2,1/($B$1:B487=B488),$O$1:O487),0)*$E488,0),"return_of_capital",IFERROR(LOOKUP(2,1/($B$1:B487=B488),$P$1:P487),0)-ABS($M488),"split",IFERROR(LOOKUP(2,1/($B$1:B487=B488),$P$1:P487),0),IFERROR(LOOKUP(2,1/($B$1:B487=B488),$P$1:P487),0)))</x:f>
      </x:c>
      <x:c r="Q488" t="str">
        <x:f>IFERROR($P488/$O488,"")</x:f>
      </x:c>
      <x:c r="R488" t="str">
        <x:f>IF(LOWER($D488)="sell",$M488-$N488-IFERROR(IFERROR(LOOKUP(2,1/($B$1:B487=B488),$P$1:P487),0)/IFERROR(LOOKUP(2,1/($B$1:B487=B488),$O$1:O487),0)*$E488,0),"")</x:f>
      </x:c>
      <x:c r="S488" t="str">
        <x:f>IF(COUNTA($A488:$D488)=0,"",IF($B488="","Missing symbol",IF($D488="","Missing action",IF(AND(LOWER($D488)="sell",$E488&gt;IFERROR(LOOKUP(2,1/($B$1:B487=B488),$O$1:O487),0)),"Sold more units than available","OK"))))</x:f>
      </x:c>
    </x:row>
    <x:row r="489">
      <x:c r="M489" t="str">
        <x:f>IF(COUNTA($A489:$D489)=0,"",IF($G489&lt;&gt;"",$G489,IF(AND($E489&lt;&gt;"",$F489&lt;&gt;""),$E489*$F489,""))*IF($J489&lt;&gt;"",$J489,1))</x:f>
      </x:c>
      <x:c r="N489" t="str">
        <x:f>IF(COUNTA($A489:$D489)=0,"",IF($H489&lt;&gt;"",$H489,0)*IF($J489&lt;&gt;"",$J489,1))</x:f>
      </x:c>
      <x:c r="O489" t="str">
        <x:f>IF(COUNTA($A489:$D489)=0,"",SWITCH(LOWER($D489),"buy",IFERROR(LOOKUP(2,1/($B$1:B488=B489),$O$1:O488),0)+$E489,"drip",IFERROR(LOOKUP(2,1/($B$1:B488=B489),$O$1:O488),0)+$E489,"sell",IFERROR(LOOKUP(2,1/($B$1:B488=B489),$O$1:O488),0)-$E489,"return_of_capital",IFERROR(LOOKUP(2,1/($B$1:B488=B489),$O$1:O488),0),"split",$E489,IFERROR(LOOKUP(2,1/($B$1:B488=B489),$O$1:O488),0)))</x:f>
      </x:c>
      <x:c r="P489" t="str">
        <x:f>IF(COUNTA($A489:$D489)=0,"",SWITCH(LOWER($D489),"buy",IFERROR(LOOKUP(2,1/($B$1:B488=B489),$P$1:P488),0)+$M489+$N489,"drip",IFERROR(LOOKUP(2,1/($B$1:B488=B489),$P$1:P488),0)+$M489+$N489,"sell",IFERROR(LOOKUP(2,1/($B$1:B488=B489),$P$1:P488),0)-IFERROR(IFERROR(LOOKUP(2,1/($B$1:B488=B489),$P$1:P488),0)/IFERROR(LOOKUP(2,1/($B$1:B488=B489),$O$1:O488),0)*$E489,0),"return_of_capital",IFERROR(LOOKUP(2,1/($B$1:B488=B489),$P$1:P488),0)-ABS($M489),"split",IFERROR(LOOKUP(2,1/($B$1:B488=B489),$P$1:P488),0),IFERROR(LOOKUP(2,1/($B$1:B488=B489),$P$1:P488),0)))</x:f>
      </x:c>
      <x:c r="Q489" t="str">
        <x:f>IFERROR($P489/$O489,"")</x:f>
      </x:c>
      <x:c r="R489" t="str">
        <x:f>IF(LOWER($D489)="sell",$M489-$N489-IFERROR(IFERROR(LOOKUP(2,1/($B$1:B488=B489),$P$1:P488),0)/IFERROR(LOOKUP(2,1/($B$1:B488=B489),$O$1:O488),0)*$E489,0),"")</x:f>
      </x:c>
      <x:c r="S489" t="str">
        <x:f>IF(COUNTA($A489:$D489)=0,"",IF($B489="","Missing symbol",IF($D489="","Missing action",IF(AND(LOWER($D489)="sell",$E489&gt;IFERROR(LOOKUP(2,1/($B$1:B488=B489),$O$1:O488),0)),"Sold more units than available","OK"))))</x:f>
      </x:c>
    </x:row>
    <x:row r="490">
      <x:c r="M490" t="str">
        <x:f>IF(COUNTA($A490:$D490)=0,"",IF($G490&lt;&gt;"",$G490,IF(AND($E490&lt;&gt;"",$F490&lt;&gt;""),$E490*$F490,""))*IF($J490&lt;&gt;"",$J490,1))</x:f>
      </x:c>
      <x:c r="N490" t="str">
        <x:f>IF(COUNTA($A490:$D490)=0,"",IF($H490&lt;&gt;"",$H490,0)*IF($J490&lt;&gt;"",$J490,1))</x:f>
      </x:c>
      <x:c r="O490" t="str">
        <x:f>IF(COUNTA($A490:$D490)=0,"",SWITCH(LOWER($D490),"buy",IFERROR(LOOKUP(2,1/($B$1:B489=B490),$O$1:O489),0)+$E490,"drip",IFERROR(LOOKUP(2,1/($B$1:B489=B490),$O$1:O489),0)+$E490,"sell",IFERROR(LOOKUP(2,1/($B$1:B489=B490),$O$1:O489),0)-$E490,"return_of_capital",IFERROR(LOOKUP(2,1/($B$1:B489=B490),$O$1:O489),0),"split",$E490,IFERROR(LOOKUP(2,1/($B$1:B489=B490),$O$1:O489),0)))</x:f>
      </x:c>
      <x:c r="P490" t="str">
        <x:f>IF(COUNTA($A490:$D490)=0,"",SWITCH(LOWER($D490),"buy",IFERROR(LOOKUP(2,1/($B$1:B489=B490),$P$1:P489),0)+$M490+$N490,"drip",IFERROR(LOOKUP(2,1/($B$1:B489=B490),$P$1:P489),0)+$M490+$N490,"sell",IFERROR(LOOKUP(2,1/($B$1:B489=B490),$P$1:P489),0)-IFERROR(IFERROR(LOOKUP(2,1/($B$1:B489=B490),$P$1:P489),0)/IFERROR(LOOKUP(2,1/($B$1:B489=B490),$O$1:O489),0)*$E490,0),"return_of_capital",IFERROR(LOOKUP(2,1/($B$1:B489=B490),$P$1:P489),0)-ABS($M490),"split",IFERROR(LOOKUP(2,1/($B$1:B489=B490),$P$1:P489),0),IFERROR(LOOKUP(2,1/($B$1:B489=B490),$P$1:P489),0)))</x:f>
      </x:c>
      <x:c r="Q490" t="str">
        <x:f>IFERROR($P490/$O490,"")</x:f>
      </x:c>
      <x:c r="R490" t="str">
        <x:f>IF(LOWER($D490)="sell",$M490-$N490-IFERROR(IFERROR(LOOKUP(2,1/($B$1:B489=B490),$P$1:P489),0)/IFERROR(LOOKUP(2,1/($B$1:B489=B490),$O$1:O489),0)*$E490,0),"")</x:f>
      </x:c>
      <x:c r="S490" t="str">
        <x:f>IF(COUNTA($A490:$D490)=0,"",IF($B490="","Missing symbol",IF($D490="","Missing action",IF(AND(LOWER($D490)="sell",$E490&gt;IFERROR(LOOKUP(2,1/($B$1:B489=B490),$O$1:O489),0)),"Sold more units than available","OK"))))</x:f>
      </x:c>
    </x:row>
    <x:row r="491">
      <x:c r="M491" t="str">
        <x:f>IF(COUNTA($A491:$D491)=0,"",IF($G491&lt;&gt;"",$G491,IF(AND($E491&lt;&gt;"",$F491&lt;&gt;""),$E491*$F491,""))*IF($J491&lt;&gt;"",$J491,1))</x:f>
      </x:c>
      <x:c r="N491" t="str">
        <x:f>IF(COUNTA($A491:$D491)=0,"",IF($H491&lt;&gt;"",$H491,0)*IF($J491&lt;&gt;"",$J491,1))</x:f>
      </x:c>
      <x:c r="O491" t="str">
        <x:f>IF(COUNTA($A491:$D491)=0,"",SWITCH(LOWER($D491),"buy",IFERROR(LOOKUP(2,1/($B$1:B490=B491),$O$1:O490),0)+$E491,"drip",IFERROR(LOOKUP(2,1/($B$1:B490=B491),$O$1:O490),0)+$E491,"sell",IFERROR(LOOKUP(2,1/($B$1:B490=B491),$O$1:O490),0)-$E491,"return_of_capital",IFERROR(LOOKUP(2,1/($B$1:B490=B491),$O$1:O490),0),"split",$E491,IFERROR(LOOKUP(2,1/($B$1:B490=B491),$O$1:O490),0)))</x:f>
      </x:c>
      <x:c r="P491" t="str">
        <x:f>IF(COUNTA($A491:$D491)=0,"",SWITCH(LOWER($D491),"buy",IFERROR(LOOKUP(2,1/($B$1:B490=B491),$P$1:P490),0)+$M491+$N491,"drip",IFERROR(LOOKUP(2,1/($B$1:B490=B491),$P$1:P490),0)+$M491+$N491,"sell",IFERROR(LOOKUP(2,1/($B$1:B490=B491),$P$1:P490),0)-IFERROR(IFERROR(LOOKUP(2,1/($B$1:B490=B491),$P$1:P490),0)/IFERROR(LOOKUP(2,1/($B$1:B490=B491),$O$1:O490),0)*$E491,0),"return_of_capital",IFERROR(LOOKUP(2,1/($B$1:B490=B491),$P$1:P490),0)-ABS($M491),"split",IFERROR(LOOKUP(2,1/($B$1:B490=B491),$P$1:P490),0),IFERROR(LOOKUP(2,1/($B$1:B490=B491),$P$1:P490),0)))</x:f>
      </x:c>
      <x:c r="Q491" t="str">
        <x:f>IFERROR($P491/$O491,"")</x:f>
      </x:c>
      <x:c r="R491" t="str">
        <x:f>IF(LOWER($D491)="sell",$M491-$N491-IFERROR(IFERROR(LOOKUP(2,1/($B$1:B490=B491),$P$1:P490),0)/IFERROR(LOOKUP(2,1/($B$1:B490=B491),$O$1:O490),0)*$E491,0),"")</x:f>
      </x:c>
      <x:c r="S491" t="str">
        <x:f>IF(COUNTA($A491:$D491)=0,"",IF($B491="","Missing symbol",IF($D491="","Missing action",IF(AND(LOWER($D491)="sell",$E491&gt;IFERROR(LOOKUP(2,1/($B$1:B490=B491),$O$1:O490),0)),"Sold more units than available","OK"))))</x:f>
      </x:c>
    </x:row>
    <x:row r="492">
      <x:c r="M492" t="str">
        <x:f>IF(COUNTA($A492:$D492)=0,"",IF($G492&lt;&gt;"",$G492,IF(AND($E492&lt;&gt;"",$F492&lt;&gt;""),$E492*$F492,""))*IF($J492&lt;&gt;"",$J492,1))</x:f>
      </x:c>
      <x:c r="N492" t="str">
        <x:f>IF(COUNTA($A492:$D492)=0,"",IF($H492&lt;&gt;"",$H492,0)*IF($J492&lt;&gt;"",$J492,1))</x:f>
      </x:c>
      <x:c r="O492" t="str">
        <x:f>IF(COUNTA($A492:$D492)=0,"",SWITCH(LOWER($D492),"buy",IFERROR(LOOKUP(2,1/($B$1:B491=B492),$O$1:O491),0)+$E492,"drip",IFERROR(LOOKUP(2,1/($B$1:B491=B492),$O$1:O491),0)+$E492,"sell",IFERROR(LOOKUP(2,1/($B$1:B491=B492),$O$1:O491),0)-$E492,"return_of_capital",IFERROR(LOOKUP(2,1/($B$1:B491=B492),$O$1:O491),0),"split",$E492,IFERROR(LOOKUP(2,1/($B$1:B491=B492),$O$1:O491),0)))</x:f>
      </x:c>
      <x:c r="P492" t="str">
        <x:f>IF(COUNTA($A492:$D492)=0,"",SWITCH(LOWER($D492),"buy",IFERROR(LOOKUP(2,1/($B$1:B491=B492),$P$1:P491),0)+$M492+$N492,"drip",IFERROR(LOOKUP(2,1/($B$1:B491=B492),$P$1:P491),0)+$M492+$N492,"sell",IFERROR(LOOKUP(2,1/($B$1:B491=B492),$P$1:P491),0)-IFERROR(IFERROR(LOOKUP(2,1/($B$1:B491=B492),$P$1:P491),0)/IFERROR(LOOKUP(2,1/($B$1:B491=B492),$O$1:O491),0)*$E492,0),"return_of_capital",IFERROR(LOOKUP(2,1/($B$1:B491=B492),$P$1:P491),0)-ABS($M492),"split",IFERROR(LOOKUP(2,1/($B$1:B491=B492),$P$1:P491),0),IFERROR(LOOKUP(2,1/($B$1:B491=B492),$P$1:P491),0)))</x:f>
      </x:c>
      <x:c r="Q492" t="str">
        <x:f>IFERROR($P492/$O492,"")</x:f>
      </x:c>
      <x:c r="R492" t="str">
        <x:f>IF(LOWER($D492)="sell",$M492-$N492-IFERROR(IFERROR(LOOKUP(2,1/($B$1:B491=B492),$P$1:P491),0)/IFERROR(LOOKUP(2,1/($B$1:B491=B492),$O$1:O491),0)*$E492,0),"")</x:f>
      </x:c>
      <x:c r="S492" t="str">
        <x:f>IF(COUNTA($A492:$D492)=0,"",IF($B492="","Missing symbol",IF($D492="","Missing action",IF(AND(LOWER($D492)="sell",$E492&gt;IFERROR(LOOKUP(2,1/($B$1:B491=B492),$O$1:O491),0)),"Sold more units than available","OK"))))</x:f>
      </x:c>
    </x:row>
    <x:row r="493">
      <x:c r="M493" t="str">
        <x:f>IF(COUNTA($A493:$D493)=0,"",IF($G493&lt;&gt;"",$G493,IF(AND($E493&lt;&gt;"",$F493&lt;&gt;""),$E493*$F493,""))*IF($J493&lt;&gt;"",$J493,1))</x:f>
      </x:c>
      <x:c r="N493" t="str">
        <x:f>IF(COUNTA($A493:$D493)=0,"",IF($H493&lt;&gt;"",$H493,0)*IF($J493&lt;&gt;"",$J493,1))</x:f>
      </x:c>
      <x:c r="O493" t="str">
        <x:f>IF(COUNTA($A493:$D493)=0,"",SWITCH(LOWER($D493),"buy",IFERROR(LOOKUP(2,1/($B$1:B492=B493),$O$1:O492),0)+$E493,"drip",IFERROR(LOOKUP(2,1/($B$1:B492=B493),$O$1:O492),0)+$E493,"sell",IFERROR(LOOKUP(2,1/($B$1:B492=B493),$O$1:O492),0)-$E493,"return_of_capital",IFERROR(LOOKUP(2,1/($B$1:B492=B493),$O$1:O492),0),"split",$E493,IFERROR(LOOKUP(2,1/($B$1:B492=B493),$O$1:O492),0)))</x:f>
      </x:c>
      <x:c r="P493" t="str">
        <x:f>IF(COUNTA($A493:$D493)=0,"",SWITCH(LOWER($D493),"buy",IFERROR(LOOKUP(2,1/($B$1:B492=B493),$P$1:P492),0)+$M493+$N493,"drip",IFERROR(LOOKUP(2,1/($B$1:B492=B493),$P$1:P492),0)+$M493+$N493,"sell",IFERROR(LOOKUP(2,1/($B$1:B492=B493),$P$1:P492),0)-IFERROR(IFERROR(LOOKUP(2,1/($B$1:B492=B493),$P$1:P492),0)/IFERROR(LOOKUP(2,1/($B$1:B492=B493),$O$1:O492),0)*$E493,0),"return_of_capital",IFERROR(LOOKUP(2,1/($B$1:B492=B493),$P$1:P492),0)-ABS($M493),"split",IFERROR(LOOKUP(2,1/($B$1:B492=B493),$P$1:P492),0),IFERROR(LOOKUP(2,1/($B$1:B492=B493),$P$1:P492),0)))</x:f>
      </x:c>
      <x:c r="Q493" t="str">
        <x:f>IFERROR($P493/$O493,"")</x:f>
      </x:c>
      <x:c r="R493" t="str">
        <x:f>IF(LOWER($D493)="sell",$M493-$N493-IFERROR(IFERROR(LOOKUP(2,1/($B$1:B492=B493),$P$1:P492),0)/IFERROR(LOOKUP(2,1/($B$1:B492=B493),$O$1:O492),0)*$E493,0),"")</x:f>
      </x:c>
      <x:c r="S493" t="str">
        <x:f>IF(COUNTA($A493:$D493)=0,"",IF($B493="","Missing symbol",IF($D493="","Missing action",IF(AND(LOWER($D493)="sell",$E493&gt;IFERROR(LOOKUP(2,1/($B$1:B492=B493),$O$1:O492),0)),"Sold more units than available","OK"))))</x:f>
      </x:c>
    </x:row>
    <x:row r="494">
      <x:c r="M494" t="str">
        <x:f>IF(COUNTA($A494:$D494)=0,"",IF($G494&lt;&gt;"",$G494,IF(AND($E494&lt;&gt;"",$F494&lt;&gt;""),$E494*$F494,""))*IF($J494&lt;&gt;"",$J494,1))</x:f>
      </x:c>
      <x:c r="N494" t="str">
        <x:f>IF(COUNTA($A494:$D494)=0,"",IF($H494&lt;&gt;"",$H494,0)*IF($J494&lt;&gt;"",$J494,1))</x:f>
      </x:c>
      <x:c r="O494" t="str">
        <x:f>IF(COUNTA($A494:$D494)=0,"",SWITCH(LOWER($D494),"buy",IFERROR(LOOKUP(2,1/($B$1:B493=B494),$O$1:O493),0)+$E494,"drip",IFERROR(LOOKUP(2,1/($B$1:B493=B494),$O$1:O493),0)+$E494,"sell",IFERROR(LOOKUP(2,1/($B$1:B493=B494),$O$1:O493),0)-$E494,"return_of_capital",IFERROR(LOOKUP(2,1/($B$1:B493=B494),$O$1:O493),0),"split",$E494,IFERROR(LOOKUP(2,1/($B$1:B493=B494),$O$1:O493),0)))</x:f>
      </x:c>
      <x:c r="P494" t="str">
        <x:f>IF(COUNTA($A494:$D494)=0,"",SWITCH(LOWER($D494),"buy",IFERROR(LOOKUP(2,1/($B$1:B493=B494),$P$1:P493),0)+$M494+$N494,"drip",IFERROR(LOOKUP(2,1/($B$1:B493=B494),$P$1:P493),0)+$M494+$N494,"sell",IFERROR(LOOKUP(2,1/($B$1:B493=B494),$P$1:P493),0)-IFERROR(IFERROR(LOOKUP(2,1/($B$1:B493=B494),$P$1:P493),0)/IFERROR(LOOKUP(2,1/($B$1:B493=B494),$O$1:O493),0)*$E494,0),"return_of_capital",IFERROR(LOOKUP(2,1/($B$1:B493=B494),$P$1:P493),0)-ABS($M494),"split",IFERROR(LOOKUP(2,1/($B$1:B493=B494),$P$1:P493),0),IFERROR(LOOKUP(2,1/($B$1:B493=B494),$P$1:P493),0)))</x:f>
      </x:c>
      <x:c r="Q494" t="str">
        <x:f>IFERROR($P494/$O494,"")</x:f>
      </x:c>
      <x:c r="R494" t="str">
        <x:f>IF(LOWER($D494)="sell",$M494-$N494-IFERROR(IFERROR(LOOKUP(2,1/($B$1:B493=B494),$P$1:P493),0)/IFERROR(LOOKUP(2,1/($B$1:B493=B494),$O$1:O493),0)*$E494,0),"")</x:f>
      </x:c>
      <x:c r="S494" t="str">
        <x:f>IF(COUNTA($A494:$D494)=0,"",IF($B494="","Missing symbol",IF($D494="","Missing action",IF(AND(LOWER($D494)="sell",$E494&gt;IFERROR(LOOKUP(2,1/($B$1:B493=B494),$O$1:O493),0)),"Sold more units than available","OK"))))</x:f>
      </x:c>
    </x:row>
    <x:row r="495">
      <x:c r="M495" t="str">
        <x:f>IF(COUNTA($A495:$D495)=0,"",IF($G495&lt;&gt;"",$G495,IF(AND($E495&lt;&gt;"",$F495&lt;&gt;""),$E495*$F495,""))*IF($J495&lt;&gt;"",$J495,1))</x:f>
      </x:c>
      <x:c r="N495" t="str">
        <x:f>IF(COUNTA($A495:$D495)=0,"",IF($H495&lt;&gt;"",$H495,0)*IF($J495&lt;&gt;"",$J495,1))</x:f>
      </x:c>
      <x:c r="O495" t="str">
        <x:f>IF(COUNTA($A495:$D495)=0,"",SWITCH(LOWER($D495),"buy",IFERROR(LOOKUP(2,1/($B$1:B494=B495),$O$1:O494),0)+$E495,"drip",IFERROR(LOOKUP(2,1/($B$1:B494=B495),$O$1:O494),0)+$E495,"sell",IFERROR(LOOKUP(2,1/($B$1:B494=B495),$O$1:O494),0)-$E495,"return_of_capital",IFERROR(LOOKUP(2,1/($B$1:B494=B495),$O$1:O494),0),"split",$E495,IFERROR(LOOKUP(2,1/($B$1:B494=B495),$O$1:O494),0)))</x:f>
      </x:c>
      <x:c r="P495" t="str">
        <x:f>IF(COUNTA($A495:$D495)=0,"",SWITCH(LOWER($D495),"buy",IFERROR(LOOKUP(2,1/($B$1:B494=B495),$P$1:P494),0)+$M495+$N495,"drip",IFERROR(LOOKUP(2,1/($B$1:B494=B495),$P$1:P494),0)+$M495+$N495,"sell",IFERROR(LOOKUP(2,1/($B$1:B494=B495),$P$1:P494),0)-IFERROR(IFERROR(LOOKUP(2,1/($B$1:B494=B495),$P$1:P494),0)/IFERROR(LOOKUP(2,1/($B$1:B494=B495),$O$1:O494),0)*$E495,0),"return_of_capital",IFERROR(LOOKUP(2,1/($B$1:B494=B495),$P$1:P494),0)-ABS($M495),"split",IFERROR(LOOKUP(2,1/($B$1:B494=B495),$P$1:P494),0),IFERROR(LOOKUP(2,1/($B$1:B494=B495),$P$1:P494),0)))</x:f>
      </x:c>
      <x:c r="Q495" t="str">
        <x:f>IFERROR($P495/$O495,"")</x:f>
      </x:c>
      <x:c r="R495" t="str">
        <x:f>IF(LOWER($D495)="sell",$M495-$N495-IFERROR(IFERROR(LOOKUP(2,1/($B$1:B494=B495),$P$1:P494),0)/IFERROR(LOOKUP(2,1/($B$1:B494=B495),$O$1:O494),0)*$E495,0),"")</x:f>
      </x:c>
      <x:c r="S495" t="str">
        <x:f>IF(COUNTA($A495:$D495)=0,"",IF($B495="","Missing symbol",IF($D495="","Missing action",IF(AND(LOWER($D495)="sell",$E495&gt;IFERROR(LOOKUP(2,1/($B$1:B494=B495),$O$1:O494),0)),"Sold more units than available","OK"))))</x:f>
      </x:c>
    </x:row>
    <x:row r="496">
      <x:c r="M496" t="str">
        <x:f>IF(COUNTA($A496:$D496)=0,"",IF($G496&lt;&gt;"",$G496,IF(AND($E496&lt;&gt;"",$F496&lt;&gt;""),$E496*$F496,""))*IF($J496&lt;&gt;"",$J496,1))</x:f>
      </x:c>
      <x:c r="N496" t="str">
        <x:f>IF(COUNTA($A496:$D496)=0,"",IF($H496&lt;&gt;"",$H496,0)*IF($J496&lt;&gt;"",$J496,1))</x:f>
      </x:c>
      <x:c r="O496" t="str">
        <x:f>IF(COUNTA($A496:$D496)=0,"",SWITCH(LOWER($D496),"buy",IFERROR(LOOKUP(2,1/($B$1:B495=B496),$O$1:O495),0)+$E496,"drip",IFERROR(LOOKUP(2,1/($B$1:B495=B496),$O$1:O495),0)+$E496,"sell",IFERROR(LOOKUP(2,1/($B$1:B495=B496),$O$1:O495),0)-$E496,"return_of_capital",IFERROR(LOOKUP(2,1/($B$1:B495=B496),$O$1:O495),0),"split",$E496,IFERROR(LOOKUP(2,1/($B$1:B495=B496),$O$1:O495),0)))</x:f>
      </x:c>
      <x:c r="P496" t="str">
        <x:f>IF(COUNTA($A496:$D496)=0,"",SWITCH(LOWER($D496),"buy",IFERROR(LOOKUP(2,1/($B$1:B495=B496),$P$1:P495),0)+$M496+$N496,"drip",IFERROR(LOOKUP(2,1/($B$1:B495=B496),$P$1:P495),0)+$M496+$N496,"sell",IFERROR(LOOKUP(2,1/($B$1:B495=B496),$P$1:P495),0)-IFERROR(IFERROR(LOOKUP(2,1/($B$1:B495=B496),$P$1:P495),0)/IFERROR(LOOKUP(2,1/($B$1:B495=B496),$O$1:O495),0)*$E496,0),"return_of_capital",IFERROR(LOOKUP(2,1/($B$1:B495=B496),$P$1:P495),0)-ABS($M496),"split",IFERROR(LOOKUP(2,1/($B$1:B495=B496),$P$1:P495),0),IFERROR(LOOKUP(2,1/($B$1:B495=B496),$P$1:P495),0)))</x:f>
      </x:c>
      <x:c r="Q496" t="str">
        <x:f>IFERROR($P496/$O496,"")</x:f>
      </x:c>
      <x:c r="R496" t="str">
        <x:f>IF(LOWER($D496)="sell",$M496-$N496-IFERROR(IFERROR(LOOKUP(2,1/($B$1:B495=B496),$P$1:P495),0)/IFERROR(LOOKUP(2,1/($B$1:B495=B496),$O$1:O495),0)*$E496,0),"")</x:f>
      </x:c>
      <x:c r="S496" t="str">
        <x:f>IF(COUNTA($A496:$D496)=0,"",IF($B496="","Missing symbol",IF($D496="","Missing action",IF(AND(LOWER($D496)="sell",$E496&gt;IFERROR(LOOKUP(2,1/($B$1:B495=B496),$O$1:O495),0)),"Sold more units than available","OK"))))</x:f>
      </x:c>
    </x:row>
    <x:row r="497">
      <x:c r="M497" t="str">
        <x:f>IF(COUNTA($A497:$D497)=0,"",IF($G497&lt;&gt;"",$G497,IF(AND($E497&lt;&gt;"",$F497&lt;&gt;""),$E497*$F497,""))*IF($J497&lt;&gt;"",$J497,1))</x:f>
      </x:c>
      <x:c r="N497" t="str">
        <x:f>IF(COUNTA($A497:$D497)=0,"",IF($H497&lt;&gt;"",$H497,0)*IF($J497&lt;&gt;"",$J497,1))</x:f>
      </x:c>
      <x:c r="O497" t="str">
        <x:f>IF(COUNTA($A497:$D497)=0,"",SWITCH(LOWER($D497),"buy",IFERROR(LOOKUP(2,1/($B$1:B496=B497),$O$1:O496),0)+$E497,"drip",IFERROR(LOOKUP(2,1/($B$1:B496=B497),$O$1:O496),0)+$E497,"sell",IFERROR(LOOKUP(2,1/($B$1:B496=B497),$O$1:O496),0)-$E497,"return_of_capital",IFERROR(LOOKUP(2,1/($B$1:B496=B497),$O$1:O496),0),"split",$E497,IFERROR(LOOKUP(2,1/($B$1:B496=B497),$O$1:O496),0)))</x:f>
      </x:c>
      <x:c r="P497" t="str">
        <x:f>IF(COUNTA($A497:$D497)=0,"",SWITCH(LOWER($D497),"buy",IFERROR(LOOKUP(2,1/($B$1:B496=B497),$P$1:P496),0)+$M497+$N497,"drip",IFERROR(LOOKUP(2,1/($B$1:B496=B497),$P$1:P496),0)+$M497+$N497,"sell",IFERROR(LOOKUP(2,1/($B$1:B496=B497),$P$1:P496),0)-IFERROR(IFERROR(LOOKUP(2,1/($B$1:B496=B497),$P$1:P496),0)/IFERROR(LOOKUP(2,1/($B$1:B496=B497),$O$1:O496),0)*$E497,0),"return_of_capital",IFERROR(LOOKUP(2,1/($B$1:B496=B497),$P$1:P496),0)-ABS($M497),"split",IFERROR(LOOKUP(2,1/($B$1:B496=B497),$P$1:P496),0),IFERROR(LOOKUP(2,1/($B$1:B496=B497),$P$1:P496),0)))</x:f>
      </x:c>
      <x:c r="Q497" t="str">
        <x:f>IFERROR($P497/$O497,"")</x:f>
      </x:c>
      <x:c r="R497" t="str">
        <x:f>IF(LOWER($D497)="sell",$M497-$N497-IFERROR(IFERROR(LOOKUP(2,1/($B$1:B496=B497),$P$1:P496),0)/IFERROR(LOOKUP(2,1/($B$1:B496=B497),$O$1:O496),0)*$E497,0),"")</x:f>
      </x:c>
      <x:c r="S497" t="str">
        <x:f>IF(COUNTA($A497:$D497)=0,"",IF($B497="","Missing symbol",IF($D497="","Missing action",IF(AND(LOWER($D497)="sell",$E497&gt;IFERROR(LOOKUP(2,1/($B$1:B496=B497),$O$1:O496),0)),"Sold more units than available","OK"))))</x:f>
      </x:c>
    </x:row>
    <x:row r="498">
      <x:c r="M498" t="str">
        <x:f>IF(COUNTA($A498:$D498)=0,"",IF($G498&lt;&gt;"",$G498,IF(AND($E498&lt;&gt;"",$F498&lt;&gt;""),$E498*$F498,""))*IF($J498&lt;&gt;"",$J498,1))</x:f>
      </x:c>
      <x:c r="N498" t="str">
        <x:f>IF(COUNTA($A498:$D498)=0,"",IF($H498&lt;&gt;"",$H498,0)*IF($J498&lt;&gt;"",$J498,1))</x:f>
      </x:c>
      <x:c r="O498" t="str">
        <x:f>IF(COUNTA($A498:$D498)=0,"",SWITCH(LOWER($D498),"buy",IFERROR(LOOKUP(2,1/($B$1:B497=B498),$O$1:O497),0)+$E498,"drip",IFERROR(LOOKUP(2,1/($B$1:B497=B498),$O$1:O497),0)+$E498,"sell",IFERROR(LOOKUP(2,1/($B$1:B497=B498),$O$1:O497),0)-$E498,"return_of_capital",IFERROR(LOOKUP(2,1/($B$1:B497=B498),$O$1:O497),0),"split",$E498,IFERROR(LOOKUP(2,1/($B$1:B497=B498),$O$1:O497),0)))</x:f>
      </x:c>
      <x:c r="P498" t="str">
        <x:f>IF(COUNTA($A498:$D498)=0,"",SWITCH(LOWER($D498),"buy",IFERROR(LOOKUP(2,1/($B$1:B497=B498),$P$1:P497),0)+$M498+$N498,"drip",IFERROR(LOOKUP(2,1/($B$1:B497=B498),$P$1:P497),0)+$M498+$N498,"sell",IFERROR(LOOKUP(2,1/($B$1:B497=B498),$P$1:P497),0)-IFERROR(IFERROR(LOOKUP(2,1/($B$1:B497=B498),$P$1:P497),0)/IFERROR(LOOKUP(2,1/($B$1:B497=B498),$O$1:O497),0)*$E498,0),"return_of_capital",IFERROR(LOOKUP(2,1/($B$1:B497=B498),$P$1:P497),0)-ABS($M498),"split",IFERROR(LOOKUP(2,1/($B$1:B497=B498),$P$1:P497),0),IFERROR(LOOKUP(2,1/($B$1:B497=B498),$P$1:P497),0)))</x:f>
      </x:c>
      <x:c r="Q498" t="str">
        <x:f>IFERROR($P498/$O498,"")</x:f>
      </x:c>
      <x:c r="R498" t="str">
        <x:f>IF(LOWER($D498)="sell",$M498-$N498-IFERROR(IFERROR(LOOKUP(2,1/($B$1:B497=B498),$P$1:P497),0)/IFERROR(LOOKUP(2,1/($B$1:B497=B498),$O$1:O497),0)*$E498,0),"")</x:f>
      </x:c>
      <x:c r="S498" t="str">
        <x:f>IF(COUNTA($A498:$D498)=0,"",IF($B498="","Missing symbol",IF($D498="","Missing action",IF(AND(LOWER($D498)="sell",$E498&gt;IFERROR(LOOKUP(2,1/($B$1:B497=B498),$O$1:O497),0)),"Sold more units than available","OK"))))</x:f>
      </x:c>
    </x:row>
    <x:row r="499">
      <x:c r="M499" t="str">
        <x:f>IF(COUNTA($A499:$D499)=0,"",IF($G499&lt;&gt;"",$G499,IF(AND($E499&lt;&gt;"",$F499&lt;&gt;""),$E499*$F499,""))*IF($J499&lt;&gt;"",$J499,1))</x:f>
      </x:c>
      <x:c r="N499" t="str">
        <x:f>IF(COUNTA($A499:$D499)=0,"",IF($H499&lt;&gt;"",$H499,0)*IF($J499&lt;&gt;"",$J499,1))</x:f>
      </x:c>
      <x:c r="O499" t="str">
        <x:f>IF(COUNTA($A499:$D499)=0,"",SWITCH(LOWER($D499),"buy",IFERROR(LOOKUP(2,1/($B$1:B498=B499),$O$1:O498),0)+$E499,"drip",IFERROR(LOOKUP(2,1/($B$1:B498=B499),$O$1:O498),0)+$E499,"sell",IFERROR(LOOKUP(2,1/($B$1:B498=B499),$O$1:O498),0)-$E499,"return_of_capital",IFERROR(LOOKUP(2,1/($B$1:B498=B499),$O$1:O498),0),"split",$E499,IFERROR(LOOKUP(2,1/($B$1:B498=B499),$O$1:O498),0)))</x:f>
      </x:c>
      <x:c r="P499" t="str">
        <x:f>IF(COUNTA($A499:$D499)=0,"",SWITCH(LOWER($D499),"buy",IFERROR(LOOKUP(2,1/($B$1:B498=B499),$P$1:P498),0)+$M499+$N499,"drip",IFERROR(LOOKUP(2,1/($B$1:B498=B499),$P$1:P498),0)+$M499+$N499,"sell",IFERROR(LOOKUP(2,1/($B$1:B498=B499),$P$1:P498),0)-IFERROR(IFERROR(LOOKUP(2,1/($B$1:B498=B499),$P$1:P498),0)/IFERROR(LOOKUP(2,1/($B$1:B498=B499),$O$1:O498),0)*$E499,0),"return_of_capital",IFERROR(LOOKUP(2,1/($B$1:B498=B499),$P$1:P498),0)-ABS($M499),"split",IFERROR(LOOKUP(2,1/($B$1:B498=B499),$P$1:P498),0),IFERROR(LOOKUP(2,1/($B$1:B498=B499),$P$1:P498),0)))</x:f>
      </x:c>
      <x:c r="Q499" t="str">
        <x:f>IFERROR($P499/$O499,"")</x:f>
      </x:c>
      <x:c r="R499" t="str">
        <x:f>IF(LOWER($D499)="sell",$M499-$N499-IFERROR(IFERROR(LOOKUP(2,1/($B$1:B498=B499),$P$1:P498),0)/IFERROR(LOOKUP(2,1/($B$1:B498=B499),$O$1:O498),0)*$E499,0),"")</x:f>
      </x:c>
      <x:c r="S499" t="str">
        <x:f>IF(COUNTA($A499:$D499)=0,"",IF($B499="","Missing symbol",IF($D499="","Missing action",IF(AND(LOWER($D499)="sell",$E499&gt;IFERROR(LOOKUP(2,1/($B$1:B498=B499),$O$1:O498),0)),"Sold more units than available","OK"))))</x:f>
      </x:c>
    </x:row>
    <x:row r="500">
      <x:c r="M500" t="str">
        <x:f>IF(COUNTA($A500:$D500)=0,"",IF($G500&lt;&gt;"",$G500,IF(AND($E500&lt;&gt;"",$F500&lt;&gt;""),$E500*$F500,""))*IF($J500&lt;&gt;"",$J500,1))</x:f>
      </x:c>
      <x:c r="N500" t="str">
        <x:f>IF(COUNTA($A500:$D500)=0,"",IF($H500&lt;&gt;"",$H500,0)*IF($J500&lt;&gt;"",$J500,1))</x:f>
      </x:c>
      <x:c r="O500" t="str">
        <x:f>IF(COUNTA($A500:$D500)=0,"",SWITCH(LOWER($D500),"buy",IFERROR(LOOKUP(2,1/($B$1:B499=B500),$O$1:O499),0)+$E500,"drip",IFERROR(LOOKUP(2,1/($B$1:B499=B500),$O$1:O499),0)+$E500,"sell",IFERROR(LOOKUP(2,1/($B$1:B499=B500),$O$1:O499),0)-$E500,"return_of_capital",IFERROR(LOOKUP(2,1/($B$1:B499=B500),$O$1:O499),0),"split",$E500,IFERROR(LOOKUP(2,1/($B$1:B499=B500),$O$1:O499),0)))</x:f>
      </x:c>
      <x:c r="P500" t="str">
        <x:f>IF(COUNTA($A500:$D500)=0,"",SWITCH(LOWER($D500),"buy",IFERROR(LOOKUP(2,1/($B$1:B499=B500),$P$1:P499),0)+$M500+$N500,"drip",IFERROR(LOOKUP(2,1/($B$1:B499=B500),$P$1:P499),0)+$M500+$N500,"sell",IFERROR(LOOKUP(2,1/($B$1:B499=B500),$P$1:P499),0)-IFERROR(IFERROR(LOOKUP(2,1/($B$1:B499=B500),$P$1:P499),0)/IFERROR(LOOKUP(2,1/($B$1:B499=B500),$O$1:O499),0)*$E500,0),"return_of_capital",IFERROR(LOOKUP(2,1/($B$1:B499=B500),$P$1:P499),0)-ABS($M500),"split",IFERROR(LOOKUP(2,1/($B$1:B499=B500),$P$1:P499),0),IFERROR(LOOKUP(2,1/($B$1:B499=B500),$P$1:P499),0)))</x:f>
      </x:c>
      <x:c r="Q500" t="str">
        <x:f>IFERROR($P500/$O500,"")</x:f>
      </x:c>
      <x:c r="R500" t="str">
        <x:f>IF(LOWER($D500)="sell",$M500-$N500-IFERROR(IFERROR(LOOKUP(2,1/($B$1:B499=B500),$P$1:P499),0)/IFERROR(LOOKUP(2,1/($B$1:B499=B500),$O$1:O499),0)*$E500,0),"")</x:f>
      </x:c>
      <x:c r="S500" t="str">
        <x:f>IF(COUNTA($A500:$D500)=0,"",IF($B500="","Missing symbol",IF($D500="","Missing action",IF(AND(LOWER($D500)="sell",$E500&gt;IFERROR(LOOKUP(2,1/($B$1:B499=B500),$O$1:O499),0)),"Sold more units than available","OK"))))</x:f>
      </x:c>
    </x:row>
    <x:row r="501">
      <x:c r="M501" t="str">
        <x:f>IF(COUNTA($A501:$D501)=0,"",IF($G501&lt;&gt;"",$G501,IF(AND($E501&lt;&gt;"",$F501&lt;&gt;""),$E501*$F501,""))*IF($J501&lt;&gt;"",$J501,1))</x:f>
      </x:c>
      <x:c r="N501" t="str">
        <x:f>IF(COUNTA($A501:$D501)=0,"",IF($H501&lt;&gt;"",$H501,0)*IF($J501&lt;&gt;"",$J501,1))</x:f>
      </x:c>
      <x:c r="O501" t="str">
        <x:f>IF(COUNTA($A501:$D501)=0,"",SWITCH(LOWER($D501),"buy",IFERROR(LOOKUP(2,1/($B$1:B500=B501),$O$1:O500),0)+$E501,"drip",IFERROR(LOOKUP(2,1/($B$1:B500=B501),$O$1:O500),0)+$E501,"sell",IFERROR(LOOKUP(2,1/($B$1:B500=B501),$O$1:O500),0)-$E501,"return_of_capital",IFERROR(LOOKUP(2,1/($B$1:B500=B501),$O$1:O500),0),"split",$E501,IFERROR(LOOKUP(2,1/($B$1:B500=B501),$O$1:O500),0)))</x:f>
      </x:c>
      <x:c r="P501" t="str">
        <x:f>IF(COUNTA($A501:$D501)=0,"",SWITCH(LOWER($D501),"buy",IFERROR(LOOKUP(2,1/($B$1:B500=B501),$P$1:P500),0)+$M501+$N501,"drip",IFERROR(LOOKUP(2,1/($B$1:B500=B501),$P$1:P500),0)+$M501+$N501,"sell",IFERROR(LOOKUP(2,1/($B$1:B500=B501),$P$1:P500),0)-IFERROR(IFERROR(LOOKUP(2,1/($B$1:B500=B501),$P$1:P500),0)/IFERROR(LOOKUP(2,1/($B$1:B500=B501),$O$1:O500),0)*$E501,0),"return_of_capital",IFERROR(LOOKUP(2,1/($B$1:B500=B501),$P$1:P500),0)-ABS($M501),"split",IFERROR(LOOKUP(2,1/($B$1:B500=B501),$P$1:P500),0),IFERROR(LOOKUP(2,1/($B$1:B500=B501),$P$1:P500),0)))</x:f>
      </x:c>
      <x:c r="Q501" t="str">
        <x:f>IFERROR($P501/$O501,"")</x:f>
      </x:c>
      <x:c r="R501" t="str">
        <x:f>IF(LOWER($D501)="sell",$M501-$N501-IFERROR(IFERROR(LOOKUP(2,1/($B$1:B500=B501),$P$1:P500),0)/IFERROR(LOOKUP(2,1/($B$1:B500=B501),$O$1:O500),0)*$E501,0),"")</x:f>
      </x:c>
      <x:c r="S501" t="str">
        <x:f>IF(COUNTA($A501:$D501)=0,"",IF($B501="","Missing symbol",IF($D501="","Missing action",IF(AND(LOWER($D501)="sell",$E501&gt;IFERROR(LOOKUP(2,1/($B$1:B500=B501),$O$1:O500),0)),"Sold more units than available","OK"))))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ACB Summary</x:v>
      </x:c>
      <x:c r="B1" t="str"/>
      <x:c r="C1" t="str"/>
      <x:c r="D1" t="str"/>
      <x:c r="E1" t="str"/>
      <x:c r="F1" t="str"/>
      <x:c r="G1" t="str"/>
      <x:c r="H1" t="str"/>
    </x:row>
    <x:row r="3">
      <x:c r="A3" t="str">
        <x:v>All-years realized gain/loss</x:v>
      </x:c>
      <x:c r="B3" t="n">
        <x:f>SUM(Transactions!R2:R501)</x:f>
        <x:v>1349.4556620000012</x:v>
      </x:c>
    </x:row>
    <x:row r="4">
      <x:c r="A4" t="str">
        <x:v>Current total ACB</x:v>
      </x:c>
      <x:c r="B4" t="n">
        <x:f>SUM(E9:E58)</x:f>
        <x:v>10745.318507</x:v>
      </x:c>
    </x:row>
    <x:row r="5">
      <x:c r="A5" t="str">
        <x:v>Current total units</x:v>
      </x:c>
      <x:c r="B5" t="n">
        <x:f>SUM(D9:D58)</x:f>
        <x:v>109</x:v>
      </x:c>
    </x:row>
    <x:row r="6">
      <x:c r="A6" t="str">
        <x:v>T1135 flagged symbols</x:v>
      </x:c>
      <x:c r="B6" t="n">
        <x:f>COUNTIF(G9:G58,"Yes")</x:f>
        <x:v>1</x:v>
      </x:c>
    </x:row>
    <x:row r="8">
      <x:c r="A8" t="str">
        <x:v>Symbol</x:v>
      </x:c>
      <x:c r="B8" t="str">
        <x:v>Currency</x:v>
      </x:c>
      <x:c r="C8" t="str">
        <x:v>Realized Gain/Loss</x:v>
      </x:c>
      <x:c r="D8" t="str">
        <x:v>Current Units</x:v>
      </x:c>
      <x:c r="E8" t="str">
        <x:v>Current ACB</x:v>
      </x:c>
      <x:c r="F8" t="str">
        <x:v>Current ACB/Unit</x:v>
      </x:c>
      <x:c r="G8" t="str">
        <x:v>T1135 Flag</x:v>
      </x:c>
    </x:row>
    <x:row r="9">
      <x:c r="A9" t="str">
        <x:f>IFERROR(INDEX(SORT(UNIQUE(FILTER(Transactions!B2:B501,Transactions!B2:B501&lt;&gt;""))),ROW()-8),"")</x:f>
        <x:v>NVDA</x:v>
      </x:c>
      <x:c r="B9" t="str">
        <x:f>IF($A9="","",XLOOKUP($A9,Transactions!$B$2:$B$501,Transactions!$I$2:$I$501,"",0,-1))</x:f>
        <x:v>USD</x:v>
      </x:c>
      <x:c r="C9" t="n">
        <x:f>IF($A9="","",SUMIF(Transactions!$B$2:$B$501,$A9,Transactions!$R$2:$R$501))</x:f>
        <x:v>1349.4556620000012</x:v>
      </x:c>
      <x:c r="D9" t="n">
        <x:f>IF($A9="","",XLOOKUP($A9,Transactions!$B$2:$B$501,Transactions!$O$2:$O$501,"",0,-1))</x:f>
        <x:v>9</x:v>
      </x:c>
      <x:c r="E9" t="n">
        <x:f>IF($A9="","",XLOOKUP($A9,Transactions!$B$2:$B$501,Transactions!$P$2:$P$501,"",0,-1))</x:f>
        <x:v>7757.718507</x:v>
      </x:c>
      <x:c r="F9" t="n">
        <x:f>IFERROR(E9/D9,"")</x:f>
        <x:v>861.968723</x:v>
      </x:c>
      <x:c r="G9" t="str">
        <x:f>IF($A9="","",IF(COUNTIFS(Transactions!$B$2:$B$501,$A9,Transactions!$K$2:$K$501,"yes")&gt;0,"Yes","No"))</x:f>
        <x:v>Yes</x:v>
      </x:c>
    </x:row>
    <x:row r="10">
      <x:c r="A10" t="str">
        <x:f>IFERROR(INDEX(SORT(UNIQUE(FILTER(Transactions!B2:B501,Transactions!B2:B501&lt;&gt;""))),ROW()-8),"")</x:f>
        <x:v>XEQT</x:v>
      </x:c>
      <x:c r="B10" t="str">
        <x:f>IF($A10="","",XLOOKUP($A10,Transactions!$B$2:$B$501,Transactions!$I$2:$I$501,"",0,-1))</x:f>
        <x:v>CAD</x:v>
      </x:c>
      <x:c r="C10" t="n">
        <x:f>IF($A10="","",SUMIF(Transactions!$B$2:$B$501,$A10,Transactions!$R$2:$R$501))</x:f>
        <x:v>0</x:v>
      </x:c>
      <x:c r="D10" t="n">
        <x:f>IF($A10="","",XLOOKUP($A10,Transactions!$B$2:$B$501,Transactions!$O$2:$O$501,"",0,-1))</x:f>
        <x:v>100</x:v>
      </x:c>
      <x:c r="E10" t="n">
        <x:f>IF($A10="","",XLOOKUP($A10,Transactions!$B$2:$B$501,Transactions!$P$2:$P$501,"",0,-1))</x:f>
        <x:v>2987.6</x:v>
      </x:c>
      <x:c r="F10" t="n">
        <x:f>IFERROR(E10/D10,"")</x:f>
        <x:v>29.875999999999998</x:v>
      </x:c>
      <x:c r="G10" t="str">
        <x:f>IF($A10="","",IF(COUNTIFS(Transactions!$B$2:$B$501,$A10,Transactions!$K$2:$K$501,"yes")&gt;0,"Yes","No"))</x:f>
        <x:v>No</x:v>
      </x:c>
    </x:row>
    <x:row r="11">
      <x:c r="A11" t="str">
        <x:f>IFERROR(INDEX(SORT(UNIQUE(FILTER(Transactions!B2:B501,Transactions!B2:B501&lt;&gt;""))),ROW()-8),"")</x:f>
      </x:c>
      <x:c r="B11" t="str">
        <x:f>IF($A11="","",XLOOKUP($A11,Transactions!$B$2:$B$501,Transactions!$I$2:$I$501,"",0,-1))</x:f>
      </x:c>
      <x:c r="C11" t="str">
        <x:f>IF($A11="","",SUMIF(Transactions!$B$2:$B$501,$A11,Transactions!$R$2:$R$501))</x:f>
      </x:c>
      <x:c r="D11" t="str">
        <x:f>IF($A11="","",XLOOKUP($A11,Transactions!$B$2:$B$501,Transactions!$O$2:$O$501,"",0,-1))</x:f>
      </x:c>
      <x:c r="E11" t="str">
        <x:f>IF($A11="","",XLOOKUP($A11,Transactions!$B$2:$B$501,Transactions!$P$2:$P$501,"",0,-1))</x:f>
      </x:c>
      <x:c r="F11" t="str">
        <x:f>IFERROR(E11/D11,"")</x:f>
      </x:c>
      <x:c r="G11" t="str">
        <x:f>IF($A11="","",IF(COUNTIFS(Transactions!$B$2:$B$501,$A11,Transactions!$K$2:$K$501,"yes")&gt;0,"Yes","No"))</x:f>
      </x:c>
    </x:row>
    <x:row r="12">
      <x:c r="A12" t="str">
        <x:f>IFERROR(INDEX(SORT(UNIQUE(FILTER(Transactions!B2:B501,Transactions!B2:B501&lt;&gt;""))),ROW()-8),"")</x:f>
      </x:c>
      <x:c r="B12" t="str">
        <x:f>IF($A12="","",XLOOKUP($A12,Transactions!$B$2:$B$501,Transactions!$I$2:$I$501,"",0,-1))</x:f>
      </x:c>
      <x:c r="C12" t="str">
        <x:f>IF($A12="","",SUMIF(Transactions!$B$2:$B$501,$A12,Transactions!$R$2:$R$501))</x:f>
      </x:c>
      <x:c r="D12" t="str">
        <x:f>IF($A12="","",XLOOKUP($A12,Transactions!$B$2:$B$501,Transactions!$O$2:$O$501,"",0,-1))</x:f>
      </x:c>
      <x:c r="E12" t="str">
        <x:f>IF($A12="","",XLOOKUP($A12,Transactions!$B$2:$B$501,Transactions!$P$2:$P$501,"",0,-1))</x:f>
      </x:c>
      <x:c r="F12" t="str">
        <x:f>IFERROR(E12/D12,"")</x:f>
      </x:c>
      <x:c r="G12" t="str">
        <x:f>IF($A12="","",IF(COUNTIFS(Transactions!$B$2:$B$501,$A12,Transactions!$K$2:$K$501,"yes")&gt;0,"Yes","No"))</x:f>
      </x:c>
    </x:row>
    <x:row r="13">
      <x:c r="A13" t="str">
        <x:f>IFERROR(INDEX(SORT(UNIQUE(FILTER(Transactions!B2:B501,Transactions!B2:B501&lt;&gt;""))),ROW()-8),"")</x:f>
      </x:c>
      <x:c r="B13" t="str">
        <x:f>IF($A13="","",XLOOKUP($A13,Transactions!$B$2:$B$501,Transactions!$I$2:$I$501,"",0,-1))</x:f>
      </x:c>
      <x:c r="C13" t="str">
        <x:f>IF($A13="","",SUMIF(Transactions!$B$2:$B$501,$A13,Transactions!$R$2:$R$501))</x:f>
      </x:c>
      <x:c r="D13" t="str">
        <x:f>IF($A13="","",XLOOKUP($A13,Transactions!$B$2:$B$501,Transactions!$O$2:$O$501,"",0,-1))</x:f>
      </x:c>
      <x:c r="E13" t="str">
        <x:f>IF($A13="","",XLOOKUP($A13,Transactions!$B$2:$B$501,Transactions!$P$2:$P$501,"",0,-1))</x:f>
      </x:c>
      <x:c r="F13" t="str">
        <x:f>IFERROR(E13/D13,"")</x:f>
      </x:c>
      <x:c r="G13" t="str">
        <x:f>IF($A13="","",IF(COUNTIFS(Transactions!$B$2:$B$501,$A13,Transactions!$K$2:$K$501,"yes")&gt;0,"Yes","No"))</x:f>
      </x:c>
    </x:row>
    <x:row r="14">
      <x:c r="A14" t="str">
        <x:f>IFERROR(INDEX(SORT(UNIQUE(FILTER(Transactions!B2:B501,Transactions!B2:B501&lt;&gt;""))),ROW()-8),"")</x:f>
      </x:c>
      <x:c r="B14" t="str">
        <x:f>IF($A14="","",XLOOKUP($A14,Transactions!$B$2:$B$501,Transactions!$I$2:$I$501,"",0,-1))</x:f>
      </x:c>
      <x:c r="C14" t="str">
        <x:f>IF($A14="","",SUMIF(Transactions!$B$2:$B$501,$A14,Transactions!$R$2:$R$501))</x:f>
      </x:c>
      <x:c r="D14" t="str">
        <x:f>IF($A14="","",XLOOKUP($A14,Transactions!$B$2:$B$501,Transactions!$O$2:$O$501,"",0,-1))</x:f>
      </x:c>
      <x:c r="E14" t="str">
        <x:f>IF($A14="","",XLOOKUP($A14,Transactions!$B$2:$B$501,Transactions!$P$2:$P$501,"",0,-1))</x:f>
      </x:c>
      <x:c r="F14" t="str">
        <x:f>IFERROR(E14/D14,"")</x:f>
      </x:c>
      <x:c r="G14" t="str">
        <x:f>IF($A14="","",IF(COUNTIFS(Transactions!$B$2:$B$501,$A14,Transactions!$K$2:$K$501,"yes")&gt;0,"Yes","No"))</x:f>
      </x:c>
    </x:row>
    <x:row r="15">
      <x:c r="A15" t="str">
        <x:f>IFERROR(INDEX(SORT(UNIQUE(FILTER(Transactions!B2:B501,Transactions!B2:B501&lt;&gt;""))),ROW()-8),"")</x:f>
      </x:c>
      <x:c r="B15" t="str">
        <x:f>IF($A15="","",XLOOKUP($A15,Transactions!$B$2:$B$501,Transactions!$I$2:$I$501,"",0,-1))</x:f>
      </x:c>
      <x:c r="C15" t="str">
        <x:f>IF($A15="","",SUMIF(Transactions!$B$2:$B$501,$A15,Transactions!$R$2:$R$501))</x:f>
      </x:c>
      <x:c r="D15" t="str">
        <x:f>IF($A15="","",XLOOKUP($A15,Transactions!$B$2:$B$501,Transactions!$O$2:$O$501,"",0,-1))</x:f>
      </x:c>
      <x:c r="E15" t="str">
        <x:f>IF($A15="","",XLOOKUP($A15,Transactions!$B$2:$B$501,Transactions!$P$2:$P$501,"",0,-1))</x:f>
      </x:c>
      <x:c r="F15" t="str">
        <x:f>IFERROR(E15/D15,"")</x:f>
      </x:c>
      <x:c r="G15" t="str">
        <x:f>IF($A15="","",IF(COUNTIFS(Transactions!$B$2:$B$501,$A15,Transactions!$K$2:$K$501,"yes")&gt;0,"Yes","No"))</x:f>
      </x:c>
    </x:row>
    <x:row r="16">
      <x:c r="A16" t="str">
        <x:f>IFERROR(INDEX(SORT(UNIQUE(FILTER(Transactions!B2:B501,Transactions!B2:B501&lt;&gt;""))),ROW()-8),"")</x:f>
      </x:c>
      <x:c r="B16" t="str">
        <x:f>IF($A16="","",XLOOKUP($A16,Transactions!$B$2:$B$501,Transactions!$I$2:$I$501,"",0,-1))</x:f>
      </x:c>
      <x:c r="C16" t="str">
        <x:f>IF($A16="","",SUMIF(Transactions!$B$2:$B$501,$A16,Transactions!$R$2:$R$501))</x:f>
      </x:c>
      <x:c r="D16" t="str">
        <x:f>IF($A16="","",XLOOKUP($A16,Transactions!$B$2:$B$501,Transactions!$O$2:$O$501,"",0,-1))</x:f>
      </x:c>
      <x:c r="E16" t="str">
        <x:f>IF($A16="","",XLOOKUP($A16,Transactions!$B$2:$B$501,Transactions!$P$2:$P$501,"",0,-1))</x:f>
      </x:c>
      <x:c r="F16" t="str">
        <x:f>IFERROR(E16/D16,"")</x:f>
      </x:c>
      <x:c r="G16" t="str">
        <x:f>IF($A16="","",IF(COUNTIFS(Transactions!$B$2:$B$501,$A16,Transactions!$K$2:$K$501,"yes")&gt;0,"Yes","No"))</x:f>
      </x:c>
    </x:row>
    <x:row r="17">
      <x:c r="A17" t="str">
        <x:f>IFERROR(INDEX(SORT(UNIQUE(FILTER(Transactions!B2:B501,Transactions!B2:B501&lt;&gt;""))),ROW()-8),"")</x:f>
      </x:c>
      <x:c r="B17" t="str">
        <x:f>IF($A17="","",XLOOKUP($A17,Transactions!$B$2:$B$501,Transactions!$I$2:$I$501,"",0,-1))</x:f>
      </x:c>
      <x:c r="C17" t="str">
        <x:f>IF($A17="","",SUMIF(Transactions!$B$2:$B$501,$A17,Transactions!$R$2:$R$501))</x:f>
      </x:c>
      <x:c r="D17" t="str">
        <x:f>IF($A17="","",XLOOKUP($A17,Transactions!$B$2:$B$501,Transactions!$O$2:$O$501,"",0,-1))</x:f>
      </x:c>
      <x:c r="E17" t="str">
        <x:f>IF($A17="","",XLOOKUP($A17,Transactions!$B$2:$B$501,Transactions!$P$2:$P$501,"",0,-1))</x:f>
      </x:c>
      <x:c r="F17" t="str">
        <x:f>IFERROR(E17/D17,"")</x:f>
      </x:c>
      <x:c r="G17" t="str">
        <x:f>IF($A17="","",IF(COUNTIFS(Transactions!$B$2:$B$501,$A17,Transactions!$K$2:$K$501,"yes")&gt;0,"Yes","No"))</x:f>
      </x:c>
    </x:row>
    <x:row r="18">
      <x:c r="A18" t="str">
        <x:f>IFERROR(INDEX(SORT(UNIQUE(FILTER(Transactions!B2:B501,Transactions!B2:B501&lt;&gt;""))),ROW()-8),"")</x:f>
      </x:c>
      <x:c r="B18" t="str">
        <x:f>IF($A18="","",XLOOKUP($A18,Transactions!$B$2:$B$501,Transactions!$I$2:$I$501,"",0,-1))</x:f>
      </x:c>
      <x:c r="C18" t="str">
        <x:f>IF($A18="","",SUMIF(Transactions!$B$2:$B$501,$A18,Transactions!$R$2:$R$501))</x:f>
      </x:c>
      <x:c r="D18" t="str">
        <x:f>IF($A18="","",XLOOKUP($A18,Transactions!$B$2:$B$501,Transactions!$O$2:$O$501,"",0,-1))</x:f>
      </x:c>
      <x:c r="E18" t="str">
        <x:f>IF($A18="","",XLOOKUP($A18,Transactions!$B$2:$B$501,Transactions!$P$2:$P$501,"",0,-1))</x:f>
      </x:c>
      <x:c r="F18" t="str">
        <x:f>IFERROR(E18/D18,"")</x:f>
      </x:c>
      <x:c r="G18" t="str">
        <x:f>IF($A18="","",IF(COUNTIFS(Transactions!$B$2:$B$501,$A18,Transactions!$K$2:$K$501,"yes")&gt;0,"Yes","No"))</x:f>
      </x:c>
    </x:row>
    <x:row r="19">
      <x:c r="A19" t="str">
        <x:f>IFERROR(INDEX(SORT(UNIQUE(FILTER(Transactions!B2:B501,Transactions!B2:B501&lt;&gt;""))),ROW()-8),"")</x:f>
      </x:c>
      <x:c r="B19" t="str">
        <x:f>IF($A19="","",XLOOKUP($A19,Transactions!$B$2:$B$501,Transactions!$I$2:$I$501,"",0,-1))</x:f>
      </x:c>
      <x:c r="C19" t="str">
        <x:f>IF($A19="","",SUMIF(Transactions!$B$2:$B$501,$A19,Transactions!$R$2:$R$501))</x:f>
      </x:c>
      <x:c r="D19" t="str">
        <x:f>IF($A19="","",XLOOKUP($A19,Transactions!$B$2:$B$501,Transactions!$O$2:$O$501,"",0,-1))</x:f>
      </x:c>
      <x:c r="E19" t="str">
        <x:f>IF($A19="","",XLOOKUP($A19,Transactions!$B$2:$B$501,Transactions!$P$2:$P$501,"",0,-1))</x:f>
      </x:c>
      <x:c r="F19" t="str">
        <x:f>IFERROR(E19/D19,"")</x:f>
      </x:c>
      <x:c r="G19" t="str">
        <x:f>IF($A19="","",IF(COUNTIFS(Transactions!$B$2:$B$501,$A19,Transactions!$K$2:$K$501,"yes")&gt;0,"Yes","No"))</x:f>
      </x:c>
    </x:row>
    <x:row r="20">
      <x:c r="A20" t="str">
        <x:f>IFERROR(INDEX(SORT(UNIQUE(FILTER(Transactions!B2:B501,Transactions!B2:B501&lt;&gt;""))),ROW()-8),"")</x:f>
      </x:c>
      <x:c r="B20" t="str">
        <x:f>IF($A20="","",XLOOKUP($A20,Transactions!$B$2:$B$501,Transactions!$I$2:$I$501,"",0,-1))</x:f>
      </x:c>
      <x:c r="C20" t="str">
        <x:f>IF($A20="","",SUMIF(Transactions!$B$2:$B$501,$A20,Transactions!$R$2:$R$501))</x:f>
      </x:c>
      <x:c r="D20" t="str">
        <x:f>IF($A20="","",XLOOKUP($A20,Transactions!$B$2:$B$501,Transactions!$O$2:$O$501,"",0,-1))</x:f>
      </x:c>
      <x:c r="E20" t="str">
        <x:f>IF($A20="","",XLOOKUP($A20,Transactions!$B$2:$B$501,Transactions!$P$2:$P$501,"",0,-1))</x:f>
      </x:c>
      <x:c r="F20" t="str">
        <x:f>IFERROR(E20/D20,"")</x:f>
      </x:c>
      <x:c r="G20" t="str">
        <x:f>IF($A20="","",IF(COUNTIFS(Transactions!$B$2:$B$501,$A20,Transactions!$K$2:$K$501,"yes")&gt;0,"Yes","No"))</x:f>
      </x:c>
    </x:row>
    <x:row r="21">
      <x:c r="A21" t="str">
        <x:f>IFERROR(INDEX(SORT(UNIQUE(FILTER(Transactions!B2:B501,Transactions!B2:B501&lt;&gt;""))),ROW()-8),"")</x:f>
      </x:c>
      <x:c r="B21" t="str">
        <x:f>IF($A21="","",XLOOKUP($A21,Transactions!$B$2:$B$501,Transactions!$I$2:$I$501,"",0,-1))</x:f>
      </x:c>
      <x:c r="C21" t="str">
        <x:f>IF($A21="","",SUMIF(Transactions!$B$2:$B$501,$A21,Transactions!$R$2:$R$501))</x:f>
      </x:c>
      <x:c r="D21" t="str">
        <x:f>IF($A21="","",XLOOKUP($A21,Transactions!$B$2:$B$501,Transactions!$O$2:$O$501,"",0,-1))</x:f>
      </x:c>
      <x:c r="E21" t="str">
        <x:f>IF($A21="","",XLOOKUP($A21,Transactions!$B$2:$B$501,Transactions!$P$2:$P$501,"",0,-1))</x:f>
      </x:c>
      <x:c r="F21" t="str">
        <x:f>IFERROR(E21/D21,"")</x:f>
      </x:c>
      <x:c r="G21" t="str">
        <x:f>IF($A21="","",IF(COUNTIFS(Transactions!$B$2:$B$501,$A21,Transactions!$K$2:$K$501,"yes")&gt;0,"Yes","No"))</x:f>
      </x:c>
    </x:row>
    <x:row r="22">
      <x:c r="A22" t="str">
        <x:f>IFERROR(INDEX(SORT(UNIQUE(FILTER(Transactions!B2:B501,Transactions!B2:B501&lt;&gt;""))),ROW()-8),"")</x:f>
      </x:c>
      <x:c r="B22" t="str">
        <x:f>IF($A22="","",XLOOKUP($A22,Transactions!$B$2:$B$501,Transactions!$I$2:$I$501,"",0,-1))</x:f>
      </x:c>
      <x:c r="C22" t="str">
        <x:f>IF($A22="","",SUMIF(Transactions!$B$2:$B$501,$A22,Transactions!$R$2:$R$501))</x:f>
      </x:c>
      <x:c r="D22" t="str">
        <x:f>IF($A22="","",XLOOKUP($A22,Transactions!$B$2:$B$501,Transactions!$O$2:$O$501,"",0,-1))</x:f>
      </x:c>
      <x:c r="E22" t="str">
        <x:f>IF($A22="","",XLOOKUP($A22,Transactions!$B$2:$B$501,Transactions!$P$2:$P$501,"",0,-1))</x:f>
      </x:c>
      <x:c r="F22" t="str">
        <x:f>IFERROR(E22/D22,"")</x:f>
      </x:c>
      <x:c r="G22" t="str">
        <x:f>IF($A22="","",IF(COUNTIFS(Transactions!$B$2:$B$501,$A22,Transactions!$K$2:$K$501,"yes")&gt;0,"Yes","No"))</x:f>
      </x:c>
    </x:row>
    <x:row r="23">
      <x:c r="A23" t="str">
        <x:f>IFERROR(INDEX(SORT(UNIQUE(FILTER(Transactions!B2:B501,Transactions!B2:B501&lt;&gt;""))),ROW()-8),"")</x:f>
      </x:c>
      <x:c r="B23" t="str">
        <x:f>IF($A23="","",XLOOKUP($A23,Transactions!$B$2:$B$501,Transactions!$I$2:$I$501,"",0,-1))</x:f>
      </x:c>
      <x:c r="C23" t="str">
        <x:f>IF($A23="","",SUMIF(Transactions!$B$2:$B$501,$A23,Transactions!$R$2:$R$501))</x:f>
      </x:c>
      <x:c r="D23" t="str">
        <x:f>IF($A23="","",XLOOKUP($A23,Transactions!$B$2:$B$501,Transactions!$O$2:$O$501,"",0,-1))</x:f>
      </x:c>
      <x:c r="E23" t="str">
        <x:f>IF($A23="","",XLOOKUP($A23,Transactions!$B$2:$B$501,Transactions!$P$2:$P$501,"",0,-1))</x:f>
      </x:c>
      <x:c r="F23" t="str">
        <x:f>IFERROR(E23/D23,"")</x:f>
      </x:c>
      <x:c r="G23" t="str">
        <x:f>IF($A23="","",IF(COUNTIFS(Transactions!$B$2:$B$501,$A23,Transactions!$K$2:$K$501,"yes")&gt;0,"Yes","No"))</x:f>
      </x:c>
    </x:row>
    <x:row r="24">
      <x:c r="A24" t="str">
        <x:f>IFERROR(INDEX(SORT(UNIQUE(FILTER(Transactions!B2:B501,Transactions!B2:B501&lt;&gt;""))),ROW()-8),"")</x:f>
      </x:c>
      <x:c r="B24" t="str">
        <x:f>IF($A24="","",XLOOKUP($A24,Transactions!$B$2:$B$501,Transactions!$I$2:$I$501,"",0,-1))</x:f>
      </x:c>
      <x:c r="C24" t="str">
        <x:f>IF($A24="","",SUMIF(Transactions!$B$2:$B$501,$A24,Transactions!$R$2:$R$501))</x:f>
      </x:c>
      <x:c r="D24" t="str">
        <x:f>IF($A24="","",XLOOKUP($A24,Transactions!$B$2:$B$501,Transactions!$O$2:$O$501,"",0,-1))</x:f>
      </x:c>
      <x:c r="E24" t="str">
        <x:f>IF($A24="","",XLOOKUP($A24,Transactions!$B$2:$B$501,Transactions!$P$2:$P$501,"",0,-1))</x:f>
      </x:c>
      <x:c r="F24" t="str">
        <x:f>IFERROR(E24/D24,"")</x:f>
      </x:c>
      <x:c r="G24" t="str">
        <x:f>IF($A24="","",IF(COUNTIFS(Transactions!$B$2:$B$501,$A24,Transactions!$K$2:$K$501,"yes")&gt;0,"Yes","No"))</x:f>
      </x:c>
    </x:row>
    <x:row r="25">
      <x:c r="A25" t="str">
        <x:f>IFERROR(INDEX(SORT(UNIQUE(FILTER(Transactions!B2:B501,Transactions!B2:B501&lt;&gt;""))),ROW()-8),"")</x:f>
      </x:c>
      <x:c r="B25" t="str">
        <x:f>IF($A25="","",XLOOKUP($A25,Transactions!$B$2:$B$501,Transactions!$I$2:$I$501,"",0,-1))</x:f>
      </x:c>
      <x:c r="C25" t="str">
        <x:f>IF($A25="","",SUMIF(Transactions!$B$2:$B$501,$A25,Transactions!$R$2:$R$501))</x:f>
      </x:c>
      <x:c r="D25" t="str">
        <x:f>IF($A25="","",XLOOKUP($A25,Transactions!$B$2:$B$501,Transactions!$O$2:$O$501,"",0,-1))</x:f>
      </x:c>
      <x:c r="E25" t="str">
        <x:f>IF($A25="","",XLOOKUP($A25,Transactions!$B$2:$B$501,Transactions!$P$2:$P$501,"",0,-1))</x:f>
      </x:c>
      <x:c r="F25" t="str">
        <x:f>IFERROR(E25/D25,"")</x:f>
      </x:c>
      <x:c r="G25" t="str">
        <x:f>IF($A25="","",IF(COUNTIFS(Transactions!$B$2:$B$501,$A25,Transactions!$K$2:$K$501,"yes")&gt;0,"Yes","No"))</x:f>
      </x:c>
    </x:row>
    <x:row r="26">
      <x:c r="A26" t="str">
        <x:f>IFERROR(INDEX(SORT(UNIQUE(FILTER(Transactions!B2:B501,Transactions!B2:B501&lt;&gt;""))),ROW()-8),"")</x:f>
      </x:c>
      <x:c r="B26" t="str">
        <x:f>IF($A26="","",XLOOKUP($A26,Transactions!$B$2:$B$501,Transactions!$I$2:$I$501,"",0,-1))</x:f>
      </x:c>
      <x:c r="C26" t="str">
        <x:f>IF($A26="","",SUMIF(Transactions!$B$2:$B$501,$A26,Transactions!$R$2:$R$501))</x:f>
      </x:c>
      <x:c r="D26" t="str">
        <x:f>IF($A26="","",XLOOKUP($A26,Transactions!$B$2:$B$501,Transactions!$O$2:$O$501,"",0,-1))</x:f>
      </x:c>
      <x:c r="E26" t="str">
        <x:f>IF($A26="","",XLOOKUP($A26,Transactions!$B$2:$B$501,Transactions!$P$2:$P$501,"",0,-1))</x:f>
      </x:c>
      <x:c r="F26" t="str">
        <x:f>IFERROR(E26/D26,"")</x:f>
      </x:c>
      <x:c r="G26" t="str">
        <x:f>IF($A26="","",IF(COUNTIFS(Transactions!$B$2:$B$501,$A26,Transactions!$K$2:$K$501,"yes")&gt;0,"Yes","No"))</x:f>
      </x:c>
    </x:row>
    <x:row r="27">
      <x:c r="A27" t="str">
        <x:f>IFERROR(INDEX(SORT(UNIQUE(FILTER(Transactions!B2:B501,Transactions!B2:B501&lt;&gt;""))),ROW()-8),"")</x:f>
      </x:c>
      <x:c r="B27" t="str">
        <x:f>IF($A27="","",XLOOKUP($A27,Transactions!$B$2:$B$501,Transactions!$I$2:$I$501,"",0,-1))</x:f>
      </x:c>
      <x:c r="C27" t="str">
        <x:f>IF($A27="","",SUMIF(Transactions!$B$2:$B$501,$A27,Transactions!$R$2:$R$501))</x:f>
      </x:c>
      <x:c r="D27" t="str">
        <x:f>IF($A27="","",XLOOKUP($A27,Transactions!$B$2:$B$501,Transactions!$O$2:$O$501,"",0,-1))</x:f>
      </x:c>
      <x:c r="E27" t="str">
        <x:f>IF($A27="","",XLOOKUP($A27,Transactions!$B$2:$B$501,Transactions!$P$2:$P$501,"",0,-1))</x:f>
      </x:c>
      <x:c r="F27" t="str">
        <x:f>IFERROR(E27/D27,"")</x:f>
      </x:c>
      <x:c r="G27" t="str">
        <x:f>IF($A27="","",IF(COUNTIFS(Transactions!$B$2:$B$501,$A27,Transactions!$K$2:$K$501,"yes")&gt;0,"Yes","No"))</x:f>
      </x:c>
    </x:row>
    <x:row r="28">
      <x:c r="A28" t="str">
        <x:f>IFERROR(INDEX(SORT(UNIQUE(FILTER(Transactions!B2:B501,Transactions!B2:B501&lt;&gt;""))),ROW()-8),"")</x:f>
      </x:c>
      <x:c r="B28" t="str">
        <x:f>IF($A28="","",XLOOKUP($A28,Transactions!$B$2:$B$501,Transactions!$I$2:$I$501,"",0,-1))</x:f>
      </x:c>
      <x:c r="C28" t="str">
        <x:f>IF($A28="","",SUMIF(Transactions!$B$2:$B$501,$A28,Transactions!$R$2:$R$501))</x:f>
      </x:c>
      <x:c r="D28" t="str">
        <x:f>IF($A28="","",XLOOKUP($A28,Transactions!$B$2:$B$501,Transactions!$O$2:$O$501,"",0,-1))</x:f>
      </x:c>
      <x:c r="E28" t="str">
        <x:f>IF($A28="","",XLOOKUP($A28,Transactions!$B$2:$B$501,Transactions!$P$2:$P$501,"",0,-1))</x:f>
      </x:c>
      <x:c r="F28" t="str">
        <x:f>IFERROR(E28/D28,"")</x:f>
      </x:c>
      <x:c r="G28" t="str">
        <x:f>IF($A28="","",IF(COUNTIFS(Transactions!$B$2:$B$501,$A28,Transactions!$K$2:$K$501,"yes")&gt;0,"Yes","No"))</x:f>
      </x:c>
    </x:row>
    <x:row r="29">
      <x:c r="A29" t="str">
        <x:f>IFERROR(INDEX(SORT(UNIQUE(FILTER(Transactions!B2:B501,Transactions!B2:B501&lt;&gt;""))),ROW()-8),"")</x:f>
      </x:c>
      <x:c r="B29" t="str">
        <x:f>IF($A29="","",XLOOKUP($A29,Transactions!$B$2:$B$501,Transactions!$I$2:$I$501,"",0,-1))</x:f>
      </x:c>
      <x:c r="C29" t="str">
        <x:f>IF($A29="","",SUMIF(Transactions!$B$2:$B$501,$A29,Transactions!$R$2:$R$501))</x:f>
      </x:c>
      <x:c r="D29" t="str">
        <x:f>IF($A29="","",XLOOKUP($A29,Transactions!$B$2:$B$501,Transactions!$O$2:$O$501,"",0,-1))</x:f>
      </x:c>
      <x:c r="E29" t="str">
        <x:f>IF($A29="","",XLOOKUP($A29,Transactions!$B$2:$B$501,Transactions!$P$2:$P$501,"",0,-1))</x:f>
      </x:c>
      <x:c r="F29" t="str">
        <x:f>IFERROR(E29/D29,"")</x:f>
      </x:c>
      <x:c r="G29" t="str">
        <x:f>IF($A29="","",IF(COUNTIFS(Transactions!$B$2:$B$501,$A29,Transactions!$K$2:$K$501,"yes")&gt;0,"Yes","No"))</x:f>
      </x:c>
    </x:row>
    <x:row r="30">
      <x:c r="A30" t="str">
        <x:f>IFERROR(INDEX(SORT(UNIQUE(FILTER(Transactions!B2:B501,Transactions!B2:B501&lt;&gt;""))),ROW()-8),"")</x:f>
      </x:c>
      <x:c r="B30" t="str">
        <x:f>IF($A30="","",XLOOKUP($A30,Transactions!$B$2:$B$501,Transactions!$I$2:$I$501,"",0,-1))</x:f>
      </x:c>
      <x:c r="C30" t="str">
        <x:f>IF($A30="","",SUMIF(Transactions!$B$2:$B$501,$A30,Transactions!$R$2:$R$501))</x:f>
      </x:c>
      <x:c r="D30" t="str">
        <x:f>IF($A30="","",XLOOKUP($A30,Transactions!$B$2:$B$501,Transactions!$O$2:$O$501,"",0,-1))</x:f>
      </x:c>
      <x:c r="E30" t="str">
        <x:f>IF($A30="","",XLOOKUP($A30,Transactions!$B$2:$B$501,Transactions!$P$2:$P$501,"",0,-1))</x:f>
      </x:c>
      <x:c r="F30" t="str">
        <x:f>IFERROR(E30/D30,"")</x:f>
      </x:c>
      <x:c r="G30" t="str">
        <x:f>IF($A30="","",IF(COUNTIFS(Transactions!$B$2:$B$501,$A30,Transactions!$K$2:$K$501,"yes")&gt;0,"Yes","No"))</x:f>
      </x:c>
    </x:row>
    <x:row r="31">
      <x:c r="A31" t="str">
        <x:f>IFERROR(INDEX(SORT(UNIQUE(FILTER(Transactions!B2:B501,Transactions!B2:B501&lt;&gt;""))),ROW()-8),"")</x:f>
      </x:c>
      <x:c r="B31" t="str">
        <x:f>IF($A31="","",XLOOKUP($A31,Transactions!$B$2:$B$501,Transactions!$I$2:$I$501,"",0,-1))</x:f>
      </x:c>
      <x:c r="C31" t="str">
        <x:f>IF($A31="","",SUMIF(Transactions!$B$2:$B$501,$A31,Transactions!$R$2:$R$501))</x:f>
      </x:c>
      <x:c r="D31" t="str">
        <x:f>IF($A31="","",XLOOKUP($A31,Transactions!$B$2:$B$501,Transactions!$O$2:$O$501,"",0,-1))</x:f>
      </x:c>
      <x:c r="E31" t="str">
        <x:f>IF($A31="","",XLOOKUP($A31,Transactions!$B$2:$B$501,Transactions!$P$2:$P$501,"",0,-1))</x:f>
      </x:c>
      <x:c r="F31" t="str">
        <x:f>IFERROR(E31/D31,"")</x:f>
      </x:c>
      <x:c r="G31" t="str">
        <x:f>IF($A31="","",IF(COUNTIFS(Transactions!$B$2:$B$501,$A31,Transactions!$K$2:$K$501,"yes")&gt;0,"Yes","No"))</x:f>
      </x:c>
    </x:row>
    <x:row r="32">
      <x:c r="A32" t="str">
        <x:f>IFERROR(INDEX(SORT(UNIQUE(FILTER(Transactions!B2:B501,Transactions!B2:B501&lt;&gt;""))),ROW()-8),"")</x:f>
      </x:c>
      <x:c r="B32" t="str">
        <x:f>IF($A32="","",XLOOKUP($A32,Transactions!$B$2:$B$501,Transactions!$I$2:$I$501,"",0,-1))</x:f>
      </x:c>
      <x:c r="C32" t="str">
        <x:f>IF($A32="","",SUMIF(Transactions!$B$2:$B$501,$A32,Transactions!$R$2:$R$501))</x:f>
      </x:c>
      <x:c r="D32" t="str">
        <x:f>IF($A32="","",XLOOKUP($A32,Transactions!$B$2:$B$501,Transactions!$O$2:$O$501,"",0,-1))</x:f>
      </x:c>
      <x:c r="E32" t="str">
        <x:f>IF($A32="","",XLOOKUP($A32,Transactions!$B$2:$B$501,Transactions!$P$2:$P$501,"",0,-1))</x:f>
      </x:c>
      <x:c r="F32" t="str">
        <x:f>IFERROR(E32/D32,"")</x:f>
      </x:c>
      <x:c r="G32" t="str">
        <x:f>IF($A32="","",IF(COUNTIFS(Transactions!$B$2:$B$501,$A32,Transactions!$K$2:$K$501,"yes")&gt;0,"Yes","No"))</x:f>
      </x:c>
    </x:row>
    <x:row r="33">
      <x:c r="A33" t="str">
        <x:f>IFERROR(INDEX(SORT(UNIQUE(FILTER(Transactions!B2:B501,Transactions!B2:B501&lt;&gt;""))),ROW()-8),"")</x:f>
      </x:c>
      <x:c r="B33" t="str">
        <x:f>IF($A33="","",XLOOKUP($A33,Transactions!$B$2:$B$501,Transactions!$I$2:$I$501,"",0,-1))</x:f>
      </x:c>
      <x:c r="C33" t="str">
        <x:f>IF($A33="","",SUMIF(Transactions!$B$2:$B$501,$A33,Transactions!$R$2:$R$501))</x:f>
      </x:c>
      <x:c r="D33" t="str">
        <x:f>IF($A33="","",XLOOKUP($A33,Transactions!$B$2:$B$501,Transactions!$O$2:$O$501,"",0,-1))</x:f>
      </x:c>
      <x:c r="E33" t="str">
        <x:f>IF($A33="","",XLOOKUP($A33,Transactions!$B$2:$B$501,Transactions!$P$2:$P$501,"",0,-1))</x:f>
      </x:c>
      <x:c r="F33" t="str">
        <x:f>IFERROR(E33/D33,"")</x:f>
      </x:c>
      <x:c r="G33" t="str">
        <x:f>IF($A33="","",IF(COUNTIFS(Transactions!$B$2:$B$501,$A33,Transactions!$K$2:$K$501,"yes")&gt;0,"Yes","No"))</x:f>
      </x:c>
    </x:row>
    <x:row r="34">
      <x:c r="A34" t="str">
        <x:f>IFERROR(INDEX(SORT(UNIQUE(FILTER(Transactions!B2:B501,Transactions!B2:B501&lt;&gt;""))),ROW()-8),"")</x:f>
      </x:c>
      <x:c r="B34" t="str">
        <x:f>IF($A34="","",XLOOKUP($A34,Transactions!$B$2:$B$501,Transactions!$I$2:$I$501,"",0,-1))</x:f>
      </x:c>
      <x:c r="C34" t="str">
        <x:f>IF($A34="","",SUMIF(Transactions!$B$2:$B$501,$A34,Transactions!$R$2:$R$501))</x:f>
      </x:c>
      <x:c r="D34" t="str">
        <x:f>IF($A34="","",XLOOKUP($A34,Transactions!$B$2:$B$501,Transactions!$O$2:$O$501,"",0,-1))</x:f>
      </x:c>
      <x:c r="E34" t="str">
        <x:f>IF($A34="","",XLOOKUP($A34,Transactions!$B$2:$B$501,Transactions!$P$2:$P$501,"",0,-1))</x:f>
      </x:c>
      <x:c r="F34" t="str">
        <x:f>IFERROR(E34/D34,"")</x:f>
      </x:c>
      <x:c r="G34" t="str">
        <x:f>IF($A34="","",IF(COUNTIFS(Transactions!$B$2:$B$501,$A34,Transactions!$K$2:$K$501,"yes")&gt;0,"Yes","No"))</x:f>
      </x:c>
    </x:row>
    <x:row r="35">
      <x:c r="A35" t="str">
        <x:f>IFERROR(INDEX(SORT(UNIQUE(FILTER(Transactions!B2:B501,Transactions!B2:B501&lt;&gt;""))),ROW()-8),"")</x:f>
      </x:c>
      <x:c r="B35" t="str">
        <x:f>IF($A35="","",XLOOKUP($A35,Transactions!$B$2:$B$501,Transactions!$I$2:$I$501,"",0,-1))</x:f>
      </x:c>
      <x:c r="C35" t="str">
        <x:f>IF($A35="","",SUMIF(Transactions!$B$2:$B$501,$A35,Transactions!$R$2:$R$501))</x:f>
      </x:c>
      <x:c r="D35" t="str">
        <x:f>IF($A35="","",XLOOKUP($A35,Transactions!$B$2:$B$501,Transactions!$O$2:$O$501,"",0,-1))</x:f>
      </x:c>
      <x:c r="E35" t="str">
        <x:f>IF($A35="","",XLOOKUP($A35,Transactions!$B$2:$B$501,Transactions!$P$2:$P$501,"",0,-1))</x:f>
      </x:c>
      <x:c r="F35" t="str">
        <x:f>IFERROR(E35/D35,"")</x:f>
      </x:c>
      <x:c r="G35" t="str">
        <x:f>IF($A35="","",IF(COUNTIFS(Transactions!$B$2:$B$501,$A35,Transactions!$K$2:$K$501,"yes")&gt;0,"Yes","No"))</x:f>
      </x:c>
    </x:row>
    <x:row r="36">
      <x:c r="A36" t="str">
        <x:f>IFERROR(INDEX(SORT(UNIQUE(FILTER(Transactions!B2:B501,Transactions!B2:B501&lt;&gt;""))),ROW()-8),"")</x:f>
      </x:c>
      <x:c r="B36" t="str">
        <x:f>IF($A36="","",XLOOKUP($A36,Transactions!$B$2:$B$501,Transactions!$I$2:$I$501,"",0,-1))</x:f>
      </x:c>
      <x:c r="C36" t="str">
        <x:f>IF($A36="","",SUMIF(Transactions!$B$2:$B$501,$A36,Transactions!$R$2:$R$501))</x:f>
      </x:c>
      <x:c r="D36" t="str">
        <x:f>IF($A36="","",XLOOKUP($A36,Transactions!$B$2:$B$501,Transactions!$O$2:$O$501,"",0,-1))</x:f>
      </x:c>
      <x:c r="E36" t="str">
        <x:f>IF($A36="","",XLOOKUP($A36,Transactions!$B$2:$B$501,Transactions!$P$2:$P$501,"",0,-1))</x:f>
      </x:c>
      <x:c r="F36" t="str">
        <x:f>IFERROR(E36/D36,"")</x:f>
      </x:c>
      <x:c r="G36" t="str">
        <x:f>IF($A36="","",IF(COUNTIFS(Transactions!$B$2:$B$501,$A36,Transactions!$K$2:$K$501,"yes")&gt;0,"Yes","No"))</x:f>
      </x:c>
    </x:row>
    <x:row r="37">
      <x:c r="A37" t="str">
        <x:f>IFERROR(INDEX(SORT(UNIQUE(FILTER(Transactions!B2:B501,Transactions!B2:B501&lt;&gt;""))),ROW()-8),"")</x:f>
      </x:c>
      <x:c r="B37" t="str">
        <x:f>IF($A37="","",XLOOKUP($A37,Transactions!$B$2:$B$501,Transactions!$I$2:$I$501,"",0,-1))</x:f>
      </x:c>
      <x:c r="C37" t="str">
        <x:f>IF($A37="","",SUMIF(Transactions!$B$2:$B$501,$A37,Transactions!$R$2:$R$501))</x:f>
      </x:c>
      <x:c r="D37" t="str">
        <x:f>IF($A37="","",XLOOKUP($A37,Transactions!$B$2:$B$501,Transactions!$O$2:$O$501,"",0,-1))</x:f>
      </x:c>
      <x:c r="E37" t="str">
        <x:f>IF($A37="","",XLOOKUP($A37,Transactions!$B$2:$B$501,Transactions!$P$2:$P$501,"",0,-1))</x:f>
      </x:c>
      <x:c r="F37" t="str">
        <x:f>IFERROR(E37/D37,"")</x:f>
      </x:c>
      <x:c r="G37" t="str">
        <x:f>IF($A37="","",IF(COUNTIFS(Transactions!$B$2:$B$501,$A37,Transactions!$K$2:$K$501,"yes")&gt;0,"Yes","No"))</x:f>
      </x:c>
    </x:row>
    <x:row r="38">
      <x:c r="A38" t="str">
        <x:f>IFERROR(INDEX(SORT(UNIQUE(FILTER(Transactions!B2:B501,Transactions!B2:B501&lt;&gt;""))),ROW()-8),"")</x:f>
      </x:c>
      <x:c r="B38" t="str">
        <x:f>IF($A38="","",XLOOKUP($A38,Transactions!$B$2:$B$501,Transactions!$I$2:$I$501,"",0,-1))</x:f>
      </x:c>
      <x:c r="C38" t="str">
        <x:f>IF($A38="","",SUMIF(Transactions!$B$2:$B$501,$A38,Transactions!$R$2:$R$501))</x:f>
      </x:c>
      <x:c r="D38" t="str">
        <x:f>IF($A38="","",XLOOKUP($A38,Transactions!$B$2:$B$501,Transactions!$O$2:$O$501,"",0,-1))</x:f>
      </x:c>
      <x:c r="E38" t="str">
        <x:f>IF($A38="","",XLOOKUP($A38,Transactions!$B$2:$B$501,Transactions!$P$2:$P$501,"",0,-1))</x:f>
      </x:c>
      <x:c r="F38" t="str">
        <x:f>IFERROR(E38/D38,"")</x:f>
      </x:c>
      <x:c r="G38" t="str">
        <x:f>IF($A38="","",IF(COUNTIFS(Transactions!$B$2:$B$501,$A38,Transactions!$K$2:$K$501,"yes")&gt;0,"Yes","No"))</x:f>
      </x:c>
    </x:row>
    <x:row r="39">
      <x:c r="A39" t="str">
        <x:f>IFERROR(INDEX(SORT(UNIQUE(FILTER(Transactions!B2:B501,Transactions!B2:B501&lt;&gt;""))),ROW()-8),"")</x:f>
      </x:c>
      <x:c r="B39" t="str">
        <x:f>IF($A39="","",XLOOKUP($A39,Transactions!$B$2:$B$501,Transactions!$I$2:$I$501,"",0,-1))</x:f>
      </x:c>
      <x:c r="C39" t="str">
        <x:f>IF($A39="","",SUMIF(Transactions!$B$2:$B$501,$A39,Transactions!$R$2:$R$501))</x:f>
      </x:c>
      <x:c r="D39" t="str">
        <x:f>IF($A39="","",XLOOKUP($A39,Transactions!$B$2:$B$501,Transactions!$O$2:$O$501,"",0,-1))</x:f>
      </x:c>
      <x:c r="E39" t="str">
        <x:f>IF($A39="","",XLOOKUP($A39,Transactions!$B$2:$B$501,Transactions!$P$2:$P$501,"",0,-1))</x:f>
      </x:c>
      <x:c r="F39" t="str">
        <x:f>IFERROR(E39/D39,"")</x:f>
      </x:c>
      <x:c r="G39" t="str">
        <x:f>IF($A39="","",IF(COUNTIFS(Transactions!$B$2:$B$501,$A39,Transactions!$K$2:$K$501,"yes")&gt;0,"Yes","No"))</x:f>
      </x:c>
    </x:row>
    <x:row r="40">
      <x:c r="A40" t="str">
        <x:f>IFERROR(INDEX(SORT(UNIQUE(FILTER(Transactions!B2:B501,Transactions!B2:B501&lt;&gt;""))),ROW()-8),"")</x:f>
      </x:c>
      <x:c r="B40" t="str">
        <x:f>IF($A40="","",XLOOKUP($A40,Transactions!$B$2:$B$501,Transactions!$I$2:$I$501,"",0,-1))</x:f>
      </x:c>
      <x:c r="C40" t="str">
        <x:f>IF($A40="","",SUMIF(Transactions!$B$2:$B$501,$A40,Transactions!$R$2:$R$501))</x:f>
      </x:c>
      <x:c r="D40" t="str">
        <x:f>IF($A40="","",XLOOKUP($A40,Transactions!$B$2:$B$501,Transactions!$O$2:$O$501,"",0,-1))</x:f>
      </x:c>
      <x:c r="E40" t="str">
        <x:f>IF($A40="","",XLOOKUP($A40,Transactions!$B$2:$B$501,Transactions!$P$2:$P$501,"",0,-1))</x:f>
      </x:c>
      <x:c r="F40" t="str">
        <x:f>IFERROR(E40/D40,"")</x:f>
      </x:c>
      <x:c r="G40" t="str">
        <x:f>IF($A40="","",IF(COUNTIFS(Transactions!$B$2:$B$501,$A40,Transactions!$K$2:$K$501,"yes")&gt;0,"Yes","No"))</x:f>
      </x:c>
    </x:row>
    <x:row r="41">
      <x:c r="A41" t="str">
        <x:f>IFERROR(INDEX(SORT(UNIQUE(FILTER(Transactions!B2:B501,Transactions!B2:B501&lt;&gt;""))),ROW()-8),"")</x:f>
      </x:c>
      <x:c r="B41" t="str">
        <x:f>IF($A41="","",XLOOKUP($A41,Transactions!$B$2:$B$501,Transactions!$I$2:$I$501,"",0,-1))</x:f>
      </x:c>
      <x:c r="C41" t="str">
        <x:f>IF($A41="","",SUMIF(Transactions!$B$2:$B$501,$A41,Transactions!$R$2:$R$501))</x:f>
      </x:c>
      <x:c r="D41" t="str">
        <x:f>IF($A41="","",XLOOKUP($A41,Transactions!$B$2:$B$501,Transactions!$O$2:$O$501,"",0,-1))</x:f>
      </x:c>
      <x:c r="E41" t="str">
        <x:f>IF($A41="","",XLOOKUP($A41,Transactions!$B$2:$B$501,Transactions!$P$2:$P$501,"",0,-1))</x:f>
      </x:c>
      <x:c r="F41" t="str">
        <x:f>IFERROR(E41/D41,"")</x:f>
      </x:c>
      <x:c r="G41" t="str">
        <x:f>IF($A41="","",IF(COUNTIFS(Transactions!$B$2:$B$501,$A41,Transactions!$K$2:$K$501,"yes")&gt;0,"Yes","No"))</x:f>
      </x:c>
    </x:row>
    <x:row r="42">
      <x:c r="A42" t="str">
        <x:f>IFERROR(INDEX(SORT(UNIQUE(FILTER(Transactions!B2:B501,Transactions!B2:B501&lt;&gt;""))),ROW()-8),"")</x:f>
      </x:c>
      <x:c r="B42" t="str">
        <x:f>IF($A42="","",XLOOKUP($A42,Transactions!$B$2:$B$501,Transactions!$I$2:$I$501,"",0,-1))</x:f>
      </x:c>
      <x:c r="C42" t="str">
        <x:f>IF($A42="","",SUMIF(Transactions!$B$2:$B$501,$A42,Transactions!$R$2:$R$501))</x:f>
      </x:c>
      <x:c r="D42" t="str">
        <x:f>IF($A42="","",XLOOKUP($A42,Transactions!$B$2:$B$501,Transactions!$O$2:$O$501,"",0,-1))</x:f>
      </x:c>
      <x:c r="E42" t="str">
        <x:f>IF($A42="","",XLOOKUP($A42,Transactions!$B$2:$B$501,Transactions!$P$2:$P$501,"",0,-1))</x:f>
      </x:c>
      <x:c r="F42" t="str">
        <x:f>IFERROR(E42/D42,"")</x:f>
      </x:c>
      <x:c r="G42" t="str">
        <x:f>IF($A42="","",IF(COUNTIFS(Transactions!$B$2:$B$501,$A42,Transactions!$K$2:$K$501,"yes")&gt;0,"Yes","No"))</x:f>
      </x:c>
    </x:row>
    <x:row r="43">
      <x:c r="A43" t="str">
        <x:f>IFERROR(INDEX(SORT(UNIQUE(FILTER(Transactions!B2:B501,Transactions!B2:B501&lt;&gt;""))),ROW()-8),"")</x:f>
      </x:c>
      <x:c r="B43" t="str">
        <x:f>IF($A43="","",XLOOKUP($A43,Transactions!$B$2:$B$501,Transactions!$I$2:$I$501,"",0,-1))</x:f>
      </x:c>
      <x:c r="C43" t="str">
        <x:f>IF($A43="","",SUMIF(Transactions!$B$2:$B$501,$A43,Transactions!$R$2:$R$501))</x:f>
      </x:c>
      <x:c r="D43" t="str">
        <x:f>IF($A43="","",XLOOKUP($A43,Transactions!$B$2:$B$501,Transactions!$O$2:$O$501,"",0,-1))</x:f>
      </x:c>
      <x:c r="E43" t="str">
        <x:f>IF($A43="","",XLOOKUP($A43,Transactions!$B$2:$B$501,Transactions!$P$2:$P$501,"",0,-1))</x:f>
      </x:c>
      <x:c r="F43" t="str">
        <x:f>IFERROR(E43/D43,"")</x:f>
      </x:c>
      <x:c r="G43" t="str">
        <x:f>IF($A43="","",IF(COUNTIFS(Transactions!$B$2:$B$501,$A43,Transactions!$K$2:$K$501,"yes")&gt;0,"Yes","No"))</x:f>
      </x:c>
    </x:row>
    <x:row r="44">
      <x:c r="A44" t="str">
        <x:f>IFERROR(INDEX(SORT(UNIQUE(FILTER(Transactions!B2:B501,Transactions!B2:B501&lt;&gt;""))),ROW()-8),"")</x:f>
      </x:c>
      <x:c r="B44" t="str">
        <x:f>IF($A44="","",XLOOKUP($A44,Transactions!$B$2:$B$501,Transactions!$I$2:$I$501,"",0,-1))</x:f>
      </x:c>
      <x:c r="C44" t="str">
        <x:f>IF($A44="","",SUMIF(Transactions!$B$2:$B$501,$A44,Transactions!$R$2:$R$501))</x:f>
      </x:c>
      <x:c r="D44" t="str">
        <x:f>IF($A44="","",XLOOKUP($A44,Transactions!$B$2:$B$501,Transactions!$O$2:$O$501,"",0,-1))</x:f>
      </x:c>
      <x:c r="E44" t="str">
        <x:f>IF($A44="","",XLOOKUP($A44,Transactions!$B$2:$B$501,Transactions!$P$2:$P$501,"",0,-1))</x:f>
      </x:c>
      <x:c r="F44" t="str">
        <x:f>IFERROR(E44/D44,"")</x:f>
      </x:c>
      <x:c r="G44" t="str">
        <x:f>IF($A44="","",IF(COUNTIFS(Transactions!$B$2:$B$501,$A44,Transactions!$K$2:$K$501,"yes")&gt;0,"Yes","No"))</x:f>
      </x:c>
    </x:row>
    <x:row r="45">
      <x:c r="A45" t="str">
        <x:f>IFERROR(INDEX(SORT(UNIQUE(FILTER(Transactions!B2:B501,Transactions!B2:B501&lt;&gt;""))),ROW()-8),"")</x:f>
      </x:c>
      <x:c r="B45" t="str">
        <x:f>IF($A45="","",XLOOKUP($A45,Transactions!$B$2:$B$501,Transactions!$I$2:$I$501,"",0,-1))</x:f>
      </x:c>
      <x:c r="C45" t="str">
        <x:f>IF($A45="","",SUMIF(Transactions!$B$2:$B$501,$A45,Transactions!$R$2:$R$501))</x:f>
      </x:c>
      <x:c r="D45" t="str">
        <x:f>IF($A45="","",XLOOKUP($A45,Transactions!$B$2:$B$501,Transactions!$O$2:$O$501,"",0,-1))</x:f>
      </x:c>
      <x:c r="E45" t="str">
        <x:f>IF($A45="","",XLOOKUP($A45,Transactions!$B$2:$B$501,Transactions!$P$2:$P$501,"",0,-1))</x:f>
      </x:c>
      <x:c r="F45" t="str">
        <x:f>IFERROR(E45/D45,"")</x:f>
      </x:c>
      <x:c r="G45" t="str">
        <x:f>IF($A45="","",IF(COUNTIFS(Transactions!$B$2:$B$501,$A45,Transactions!$K$2:$K$501,"yes")&gt;0,"Yes","No"))</x:f>
      </x:c>
    </x:row>
    <x:row r="46">
      <x:c r="A46" t="str">
        <x:f>IFERROR(INDEX(SORT(UNIQUE(FILTER(Transactions!B2:B501,Transactions!B2:B501&lt;&gt;""))),ROW()-8),"")</x:f>
      </x:c>
      <x:c r="B46" t="str">
        <x:f>IF($A46="","",XLOOKUP($A46,Transactions!$B$2:$B$501,Transactions!$I$2:$I$501,"",0,-1))</x:f>
      </x:c>
      <x:c r="C46" t="str">
        <x:f>IF($A46="","",SUMIF(Transactions!$B$2:$B$501,$A46,Transactions!$R$2:$R$501))</x:f>
      </x:c>
      <x:c r="D46" t="str">
        <x:f>IF($A46="","",XLOOKUP($A46,Transactions!$B$2:$B$501,Transactions!$O$2:$O$501,"",0,-1))</x:f>
      </x:c>
      <x:c r="E46" t="str">
        <x:f>IF($A46="","",XLOOKUP($A46,Transactions!$B$2:$B$501,Transactions!$P$2:$P$501,"",0,-1))</x:f>
      </x:c>
      <x:c r="F46" t="str">
        <x:f>IFERROR(E46/D46,"")</x:f>
      </x:c>
      <x:c r="G46" t="str">
        <x:f>IF($A46="","",IF(COUNTIFS(Transactions!$B$2:$B$501,$A46,Transactions!$K$2:$K$501,"yes")&gt;0,"Yes","No"))</x:f>
      </x:c>
    </x:row>
    <x:row r="47">
      <x:c r="A47" t="str">
        <x:f>IFERROR(INDEX(SORT(UNIQUE(FILTER(Transactions!B2:B501,Transactions!B2:B501&lt;&gt;""))),ROW()-8),"")</x:f>
      </x:c>
      <x:c r="B47" t="str">
        <x:f>IF($A47="","",XLOOKUP($A47,Transactions!$B$2:$B$501,Transactions!$I$2:$I$501,"",0,-1))</x:f>
      </x:c>
      <x:c r="C47" t="str">
        <x:f>IF($A47="","",SUMIF(Transactions!$B$2:$B$501,$A47,Transactions!$R$2:$R$501))</x:f>
      </x:c>
      <x:c r="D47" t="str">
        <x:f>IF($A47="","",XLOOKUP($A47,Transactions!$B$2:$B$501,Transactions!$O$2:$O$501,"",0,-1))</x:f>
      </x:c>
      <x:c r="E47" t="str">
        <x:f>IF($A47="","",XLOOKUP($A47,Transactions!$B$2:$B$501,Transactions!$P$2:$P$501,"",0,-1))</x:f>
      </x:c>
      <x:c r="F47" t="str">
        <x:f>IFERROR(E47/D47,"")</x:f>
      </x:c>
      <x:c r="G47" t="str">
        <x:f>IF($A47="","",IF(COUNTIFS(Transactions!$B$2:$B$501,$A47,Transactions!$K$2:$K$501,"yes")&gt;0,"Yes","No"))</x:f>
      </x:c>
    </x:row>
    <x:row r="48">
      <x:c r="A48" t="str">
        <x:f>IFERROR(INDEX(SORT(UNIQUE(FILTER(Transactions!B2:B501,Transactions!B2:B501&lt;&gt;""))),ROW()-8),"")</x:f>
      </x:c>
      <x:c r="B48" t="str">
        <x:f>IF($A48="","",XLOOKUP($A48,Transactions!$B$2:$B$501,Transactions!$I$2:$I$501,"",0,-1))</x:f>
      </x:c>
      <x:c r="C48" t="str">
        <x:f>IF($A48="","",SUMIF(Transactions!$B$2:$B$501,$A48,Transactions!$R$2:$R$501))</x:f>
      </x:c>
      <x:c r="D48" t="str">
        <x:f>IF($A48="","",XLOOKUP($A48,Transactions!$B$2:$B$501,Transactions!$O$2:$O$501,"",0,-1))</x:f>
      </x:c>
      <x:c r="E48" t="str">
        <x:f>IF($A48="","",XLOOKUP($A48,Transactions!$B$2:$B$501,Transactions!$P$2:$P$501,"",0,-1))</x:f>
      </x:c>
      <x:c r="F48" t="str">
        <x:f>IFERROR(E48/D48,"")</x:f>
      </x:c>
      <x:c r="G48" t="str">
        <x:f>IF($A48="","",IF(COUNTIFS(Transactions!$B$2:$B$501,$A48,Transactions!$K$2:$K$501,"yes")&gt;0,"Yes","No"))</x:f>
      </x:c>
    </x:row>
    <x:row r="49">
      <x:c r="A49" t="str">
        <x:f>IFERROR(INDEX(SORT(UNIQUE(FILTER(Transactions!B2:B501,Transactions!B2:B501&lt;&gt;""))),ROW()-8),"")</x:f>
      </x:c>
      <x:c r="B49" t="str">
        <x:f>IF($A49="","",XLOOKUP($A49,Transactions!$B$2:$B$501,Transactions!$I$2:$I$501,"",0,-1))</x:f>
      </x:c>
      <x:c r="C49" t="str">
        <x:f>IF($A49="","",SUMIF(Transactions!$B$2:$B$501,$A49,Transactions!$R$2:$R$501))</x:f>
      </x:c>
      <x:c r="D49" t="str">
        <x:f>IF($A49="","",XLOOKUP($A49,Transactions!$B$2:$B$501,Transactions!$O$2:$O$501,"",0,-1))</x:f>
      </x:c>
      <x:c r="E49" t="str">
        <x:f>IF($A49="","",XLOOKUP($A49,Transactions!$B$2:$B$501,Transactions!$P$2:$P$501,"",0,-1))</x:f>
      </x:c>
      <x:c r="F49" t="str">
        <x:f>IFERROR(E49/D49,"")</x:f>
      </x:c>
      <x:c r="G49" t="str">
        <x:f>IF($A49="","",IF(COUNTIFS(Transactions!$B$2:$B$501,$A49,Transactions!$K$2:$K$501,"yes")&gt;0,"Yes","No"))</x:f>
      </x:c>
    </x:row>
    <x:row r="50">
      <x:c r="A50" t="str">
        <x:f>IFERROR(INDEX(SORT(UNIQUE(FILTER(Transactions!B2:B501,Transactions!B2:B501&lt;&gt;""))),ROW()-8),"")</x:f>
      </x:c>
      <x:c r="B50" t="str">
        <x:f>IF($A50="","",XLOOKUP($A50,Transactions!$B$2:$B$501,Transactions!$I$2:$I$501,"",0,-1))</x:f>
      </x:c>
      <x:c r="C50" t="str">
        <x:f>IF($A50="","",SUMIF(Transactions!$B$2:$B$501,$A50,Transactions!$R$2:$R$501))</x:f>
      </x:c>
      <x:c r="D50" t="str">
        <x:f>IF($A50="","",XLOOKUP($A50,Transactions!$B$2:$B$501,Transactions!$O$2:$O$501,"",0,-1))</x:f>
      </x:c>
      <x:c r="E50" t="str">
        <x:f>IF($A50="","",XLOOKUP($A50,Transactions!$B$2:$B$501,Transactions!$P$2:$P$501,"",0,-1))</x:f>
      </x:c>
      <x:c r="F50" t="str">
        <x:f>IFERROR(E50/D50,"")</x:f>
      </x:c>
      <x:c r="G50" t="str">
        <x:f>IF($A50="","",IF(COUNTIFS(Transactions!$B$2:$B$501,$A50,Transactions!$K$2:$K$501,"yes")&gt;0,"Yes","No"))</x:f>
      </x:c>
    </x:row>
    <x:row r="51">
      <x:c r="A51" t="str">
        <x:f>IFERROR(INDEX(SORT(UNIQUE(FILTER(Transactions!B2:B501,Transactions!B2:B501&lt;&gt;""))),ROW()-8),"")</x:f>
      </x:c>
      <x:c r="B51" t="str">
        <x:f>IF($A51="","",XLOOKUP($A51,Transactions!$B$2:$B$501,Transactions!$I$2:$I$501,"",0,-1))</x:f>
      </x:c>
      <x:c r="C51" t="str">
        <x:f>IF($A51="","",SUMIF(Transactions!$B$2:$B$501,$A51,Transactions!$R$2:$R$501))</x:f>
      </x:c>
      <x:c r="D51" t="str">
        <x:f>IF($A51="","",XLOOKUP($A51,Transactions!$B$2:$B$501,Transactions!$O$2:$O$501,"",0,-1))</x:f>
      </x:c>
      <x:c r="E51" t="str">
        <x:f>IF($A51="","",XLOOKUP($A51,Transactions!$B$2:$B$501,Transactions!$P$2:$P$501,"",0,-1))</x:f>
      </x:c>
      <x:c r="F51" t="str">
        <x:f>IFERROR(E51/D51,"")</x:f>
      </x:c>
      <x:c r="G51" t="str">
        <x:f>IF($A51="","",IF(COUNTIFS(Transactions!$B$2:$B$501,$A51,Transactions!$K$2:$K$501,"yes")&gt;0,"Yes","No"))</x:f>
      </x:c>
    </x:row>
    <x:row r="52">
      <x:c r="A52" t="str">
        <x:f>IFERROR(INDEX(SORT(UNIQUE(FILTER(Transactions!B2:B501,Transactions!B2:B501&lt;&gt;""))),ROW()-8),"")</x:f>
      </x:c>
      <x:c r="B52" t="str">
        <x:f>IF($A52="","",XLOOKUP($A52,Transactions!$B$2:$B$501,Transactions!$I$2:$I$501,"",0,-1))</x:f>
      </x:c>
      <x:c r="C52" t="str">
        <x:f>IF($A52="","",SUMIF(Transactions!$B$2:$B$501,$A52,Transactions!$R$2:$R$501))</x:f>
      </x:c>
      <x:c r="D52" t="str">
        <x:f>IF($A52="","",XLOOKUP($A52,Transactions!$B$2:$B$501,Transactions!$O$2:$O$501,"",0,-1))</x:f>
      </x:c>
      <x:c r="E52" t="str">
        <x:f>IF($A52="","",XLOOKUP($A52,Transactions!$B$2:$B$501,Transactions!$P$2:$P$501,"",0,-1))</x:f>
      </x:c>
      <x:c r="F52" t="str">
        <x:f>IFERROR(E52/D52,"")</x:f>
      </x:c>
      <x:c r="G52" t="str">
        <x:f>IF($A52="","",IF(COUNTIFS(Transactions!$B$2:$B$501,$A52,Transactions!$K$2:$K$501,"yes")&gt;0,"Yes","No"))</x:f>
      </x:c>
    </x:row>
    <x:row r="53">
      <x:c r="A53" t="str">
        <x:f>IFERROR(INDEX(SORT(UNIQUE(FILTER(Transactions!B2:B501,Transactions!B2:B501&lt;&gt;""))),ROW()-8),"")</x:f>
      </x:c>
      <x:c r="B53" t="str">
        <x:f>IF($A53="","",XLOOKUP($A53,Transactions!$B$2:$B$501,Transactions!$I$2:$I$501,"",0,-1))</x:f>
      </x:c>
      <x:c r="C53" t="str">
        <x:f>IF($A53="","",SUMIF(Transactions!$B$2:$B$501,$A53,Transactions!$R$2:$R$501))</x:f>
      </x:c>
      <x:c r="D53" t="str">
        <x:f>IF($A53="","",XLOOKUP($A53,Transactions!$B$2:$B$501,Transactions!$O$2:$O$501,"",0,-1))</x:f>
      </x:c>
      <x:c r="E53" t="str">
        <x:f>IF($A53="","",XLOOKUP($A53,Transactions!$B$2:$B$501,Transactions!$P$2:$P$501,"",0,-1))</x:f>
      </x:c>
      <x:c r="F53" t="str">
        <x:f>IFERROR(E53/D53,"")</x:f>
      </x:c>
      <x:c r="G53" t="str">
        <x:f>IF($A53="","",IF(COUNTIFS(Transactions!$B$2:$B$501,$A53,Transactions!$K$2:$K$501,"yes")&gt;0,"Yes","No"))</x:f>
      </x:c>
    </x:row>
    <x:row r="54">
      <x:c r="A54" t="str">
        <x:f>IFERROR(INDEX(SORT(UNIQUE(FILTER(Transactions!B2:B501,Transactions!B2:B501&lt;&gt;""))),ROW()-8),"")</x:f>
      </x:c>
      <x:c r="B54" t="str">
        <x:f>IF($A54="","",XLOOKUP($A54,Transactions!$B$2:$B$501,Transactions!$I$2:$I$501,"",0,-1))</x:f>
      </x:c>
      <x:c r="C54" t="str">
        <x:f>IF($A54="","",SUMIF(Transactions!$B$2:$B$501,$A54,Transactions!$R$2:$R$501))</x:f>
      </x:c>
      <x:c r="D54" t="str">
        <x:f>IF($A54="","",XLOOKUP($A54,Transactions!$B$2:$B$501,Transactions!$O$2:$O$501,"",0,-1))</x:f>
      </x:c>
      <x:c r="E54" t="str">
        <x:f>IF($A54="","",XLOOKUP($A54,Transactions!$B$2:$B$501,Transactions!$P$2:$P$501,"",0,-1))</x:f>
      </x:c>
      <x:c r="F54" t="str">
        <x:f>IFERROR(E54/D54,"")</x:f>
      </x:c>
      <x:c r="G54" t="str">
        <x:f>IF($A54="","",IF(COUNTIFS(Transactions!$B$2:$B$501,$A54,Transactions!$K$2:$K$501,"yes")&gt;0,"Yes","No"))</x:f>
      </x:c>
    </x:row>
    <x:row r="55">
      <x:c r="A55" t="str">
        <x:f>IFERROR(INDEX(SORT(UNIQUE(FILTER(Transactions!B2:B501,Transactions!B2:B501&lt;&gt;""))),ROW()-8),"")</x:f>
      </x:c>
      <x:c r="B55" t="str">
        <x:f>IF($A55="","",XLOOKUP($A55,Transactions!$B$2:$B$501,Transactions!$I$2:$I$501,"",0,-1))</x:f>
      </x:c>
      <x:c r="C55" t="str">
        <x:f>IF($A55="","",SUMIF(Transactions!$B$2:$B$501,$A55,Transactions!$R$2:$R$501))</x:f>
      </x:c>
      <x:c r="D55" t="str">
        <x:f>IF($A55="","",XLOOKUP($A55,Transactions!$B$2:$B$501,Transactions!$O$2:$O$501,"",0,-1))</x:f>
      </x:c>
      <x:c r="E55" t="str">
        <x:f>IF($A55="","",XLOOKUP($A55,Transactions!$B$2:$B$501,Transactions!$P$2:$P$501,"",0,-1))</x:f>
      </x:c>
      <x:c r="F55" t="str">
        <x:f>IFERROR(E55/D55,"")</x:f>
      </x:c>
      <x:c r="G55" t="str">
        <x:f>IF($A55="","",IF(COUNTIFS(Transactions!$B$2:$B$501,$A55,Transactions!$K$2:$K$501,"yes")&gt;0,"Yes","No"))</x:f>
      </x:c>
    </x:row>
    <x:row r="56">
      <x:c r="A56" t="str">
        <x:f>IFERROR(INDEX(SORT(UNIQUE(FILTER(Transactions!B2:B501,Transactions!B2:B501&lt;&gt;""))),ROW()-8),"")</x:f>
      </x:c>
      <x:c r="B56" t="str">
        <x:f>IF($A56="","",XLOOKUP($A56,Transactions!$B$2:$B$501,Transactions!$I$2:$I$501,"",0,-1))</x:f>
      </x:c>
      <x:c r="C56" t="str">
        <x:f>IF($A56="","",SUMIF(Transactions!$B$2:$B$501,$A56,Transactions!$R$2:$R$501))</x:f>
      </x:c>
      <x:c r="D56" t="str">
        <x:f>IF($A56="","",XLOOKUP($A56,Transactions!$B$2:$B$501,Transactions!$O$2:$O$501,"",0,-1))</x:f>
      </x:c>
      <x:c r="E56" t="str">
        <x:f>IF($A56="","",XLOOKUP($A56,Transactions!$B$2:$B$501,Transactions!$P$2:$P$501,"",0,-1))</x:f>
      </x:c>
      <x:c r="F56" t="str">
        <x:f>IFERROR(E56/D56,"")</x:f>
      </x:c>
      <x:c r="G56" t="str">
        <x:f>IF($A56="","",IF(COUNTIFS(Transactions!$B$2:$B$501,$A56,Transactions!$K$2:$K$501,"yes")&gt;0,"Yes","No"))</x:f>
      </x:c>
    </x:row>
    <x:row r="57">
      <x:c r="A57" t="str">
        <x:f>IFERROR(INDEX(SORT(UNIQUE(FILTER(Transactions!B2:B501,Transactions!B2:B501&lt;&gt;""))),ROW()-8),"")</x:f>
      </x:c>
      <x:c r="B57" t="str">
        <x:f>IF($A57="","",XLOOKUP($A57,Transactions!$B$2:$B$501,Transactions!$I$2:$I$501,"",0,-1))</x:f>
      </x:c>
      <x:c r="C57" t="str">
        <x:f>IF($A57="","",SUMIF(Transactions!$B$2:$B$501,$A57,Transactions!$R$2:$R$501))</x:f>
      </x:c>
      <x:c r="D57" t="str">
        <x:f>IF($A57="","",XLOOKUP($A57,Transactions!$B$2:$B$501,Transactions!$O$2:$O$501,"",0,-1))</x:f>
      </x:c>
      <x:c r="E57" t="str">
        <x:f>IF($A57="","",XLOOKUP($A57,Transactions!$B$2:$B$501,Transactions!$P$2:$P$501,"",0,-1))</x:f>
      </x:c>
      <x:c r="F57" t="str">
        <x:f>IFERROR(E57/D57,"")</x:f>
      </x:c>
      <x:c r="G57" t="str">
        <x:f>IF($A57="","",IF(COUNTIFS(Transactions!$B$2:$B$501,$A57,Transactions!$K$2:$K$501,"yes")&gt;0,"Yes","No"))</x:f>
      </x:c>
    </x:row>
    <x:row r="58">
      <x:c r="A58" t="str">
        <x:f>IFERROR(INDEX(SORT(UNIQUE(FILTER(Transactions!B2:B501,Transactions!B2:B501&lt;&gt;""))),ROW()-8),"")</x:f>
      </x:c>
      <x:c r="B58" t="str">
        <x:f>IF($A58="","",XLOOKUP($A58,Transactions!$B$2:$B$501,Transactions!$I$2:$I$501,"",0,-1))</x:f>
      </x:c>
      <x:c r="C58" t="str">
        <x:f>IF($A58="","",SUMIF(Transactions!$B$2:$B$501,$A58,Transactions!$R$2:$R$501))</x:f>
      </x:c>
      <x:c r="D58" t="str">
        <x:f>IF($A58="","",XLOOKUP($A58,Transactions!$B$2:$B$501,Transactions!$O$2:$O$501,"",0,-1))</x:f>
      </x:c>
      <x:c r="E58" t="str">
        <x:f>IF($A58="","",XLOOKUP($A58,Transactions!$B$2:$B$501,Transactions!$P$2:$P$501,"",0,-1))</x:f>
      </x:c>
      <x:c r="F58" t="str">
        <x:f>IFERROR(E58/D58,"")</x:f>
      </x:c>
      <x:c r="G58" t="str">
        <x:f>IF($A58="","",IF(COUNTIFS(Transactions!$B$2:$B$501,$A58,Transactions!$K$2:$K$501,"yes")&gt;0,"Yes","No"))</x:f>
      </x:c>
    </x:row>
    <x:row r="61">
      <x:c r="A61" t="str">
        <x:v>Year</x:v>
      </x:c>
      <x:c r="B61" t="str">
        <x:v>Realized Gain/Loss</x:v>
      </x:c>
      <x:c r="C61" t="str">
        <x:v>Transactions</x:v>
      </x:c>
      <x:c r="D61" t="str">
        <x:v>Notes</x:v>
      </x:c>
    </x:row>
    <x:row r="62">
      <x:c r="A62" t="n">
        <x:f>2024</x:f>
        <x:v>2024</x:v>
      </x:c>
      <x:c r="B62" t="n">
        <x:f>SUMIFS(Transactions!$R$2:$R$501,Transactions!$A$2:$A$501,"&gt;="&amp;DATE(A62,1,1),Transactions!$A$2:$A$501,"&lt;"&amp;DATE(A62+1,1,1))</x:f>
        <x:v>0</x:v>
      </x:c>
      <x:c r="C62" t="n">
        <x:f>COUNTIFS(Transactions!$A$2:$A$501,"&gt;="&amp;DATE(A62,1,1),Transactions!$A$2:$A$501,"&lt;"&amp;DATE(A62+1,1,1))</x:f>
        <x:v>0</x:v>
      </x:c>
      <x:c r="D62" t="str">
        <x:f>IF(C62=0,"","Review realized gains/losses")</x:f>
      </x:c>
    </x:row>
    <x:row r="63">
      <x:c r="A63" t="n">
        <x:f>2025</x:f>
        <x:v>2025</x:v>
      </x:c>
      <x:c r="B63" t="n">
        <x:f>SUMIFS(Transactions!$R$2:$R$501,Transactions!$A$2:$A$501,"&gt;="&amp;DATE(A63,1,1),Transactions!$A$2:$A$501,"&lt;"&amp;DATE(A63+1,1,1))</x:f>
        <x:v>0</x:v>
      </x:c>
      <x:c r="C63" t="n">
        <x:f>COUNTIFS(Transactions!$A$2:$A$501,"&gt;="&amp;DATE(A63,1,1),Transactions!$A$2:$A$501,"&lt;"&amp;DATE(A63+1,1,1))</x:f>
        <x:v>0</x:v>
      </x:c>
      <x:c r="D63" t="str">
        <x:f>IF(C63=0,"","Review realized gains/losses")</x:f>
      </x:c>
    </x:row>
    <x:row r="64">
      <x:c r="A64" t="n">
        <x:f>2026</x:f>
        <x:v>2026</x:v>
      </x:c>
      <x:c r="B64" t="n">
        <x:f>SUMIFS(Transactions!$R$2:$R$501,Transactions!$A$2:$A$501,"&gt;="&amp;DATE(A64,1,1),Transactions!$A$2:$A$501,"&lt;"&amp;DATE(A64+1,1,1))</x:f>
        <x:v>1349.4556620023147</x:v>
      </x:c>
      <x:c r="C64" t="n">
        <x:f>COUNTIFS(Transactions!$A$2:$A$501,"&gt;="&amp;DATE(A64,1,1),Transactions!$A$2:$A$501,"&lt;"&amp;DATE(A64+1,1,1))</x:f>
        <x:v>5</x:v>
      </x:c>
      <x:c r="D64" t="str">
        <x:f>IF(C64=0,"","Review realized gains/losses")</x:f>
        <x:v>Review realized gains/losses</x:v>
      </x:c>
    </x:row>
    <x:row r="65">
      <x:c r="A65" t="n">
        <x:f>2027</x:f>
        <x:v>2027</x:v>
      </x:c>
      <x:c r="B65" t="n">
        <x:f>SUMIFS(Transactions!$R$2:$R$501,Transactions!$A$2:$A$501,"&gt;="&amp;DATE(A65,1,1),Transactions!$A$2:$A$501,"&lt;"&amp;DATE(A65+1,1,1))</x:f>
        <x:v>0</x:v>
      </x:c>
      <x:c r="C65" t="n">
        <x:f>COUNTIFS(Transactions!$A$2:$A$501,"&gt;="&amp;DATE(A65,1,1),Transactions!$A$2:$A$501,"&lt;"&amp;DATE(A65+1,1,1))</x:f>
        <x:v>0</x:v>
      </x:c>
      <x:c r="D65" t="str">
        <x:f>IF(C65=0,"","Review realized gains/losses")</x:f>
      </x:c>
    </x:row>
    <x:row r="66">
      <x:c r="A66" t="n">
        <x:f>2028</x:f>
        <x:v>2028</x:v>
      </x:c>
      <x:c r="B66" t="n">
        <x:f>SUMIFS(Transactions!$R$2:$R$501,Transactions!$A$2:$A$501,"&gt;="&amp;DATE(A66,1,1),Transactions!$A$2:$A$501,"&lt;"&amp;DATE(A66+1,1,1))</x:f>
        <x:v>0</x:v>
      </x:c>
      <x:c r="C66" t="n">
        <x:f>COUNTIFS(Transactions!$A$2:$A$501,"&gt;="&amp;DATE(A66,1,1),Transactions!$A$2:$A$501,"&lt;"&amp;DATE(A66+1,1,1))</x:f>
        <x:v>0</x:v>
      </x:c>
      <x:c r="D66" t="str">
        <x:f>IF(C66=0,"","Review realized gains/losses")</x:f>
      </x:c>
    </x:row>
    <x:row r="67">
      <x:c r="A67" t="n">
        <x:f>2029</x:f>
        <x:v>2029</x:v>
      </x:c>
      <x:c r="B67" t="n">
        <x:f>SUMIFS(Transactions!$R$2:$R$501,Transactions!$A$2:$A$501,"&gt;="&amp;DATE(A67,1,1),Transactions!$A$2:$A$501,"&lt;"&amp;DATE(A67+1,1,1))</x:f>
        <x:v>0</x:v>
      </x:c>
      <x:c r="C67" t="n">
        <x:f>COUNTIFS(Transactions!$A$2:$A$501,"&gt;="&amp;DATE(A67,1,1),Transactions!$A$2:$A$501,"&lt;"&amp;DATE(A67+1,1,1))</x:f>
        <x:v>0</x:v>
      </x:c>
      <x:c r="D67" t="str">
        <x:f>IF(C67=0,"","Review realized gains/losses")</x:f>
      </x:c>
    </x:row>
    <x:row r="68">
      <x:c r="A68" t="n">
        <x:f>2030</x:f>
        <x:v>2030</x:v>
      </x:c>
      <x:c r="B68" t="n">
        <x:f>SUMIFS(Transactions!$R$2:$R$501,Transactions!$A$2:$A$501,"&gt;="&amp;DATE(A68,1,1),Transactions!$A$2:$A$501,"&lt;"&amp;DATE(A68+1,1,1))</x:f>
        <x:v>0</x:v>
      </x:c>
      <x:c r="C68" t="n">
        <x:f>COUNTIFS(Transactions!$A$2:$A$501,"&gt;="&amp;DATE(A68,1,1),Transactions!$A$2:$A$501,"&lt;"&amp;DATE(A68+1,1,1))</x:f>
        <x:v>0</x:v>
      </x:c>
      <x:c r="D68" t="str">
        <x:f>IF(C68=0,"","Review realized gains/losses")</x:f>
      </x:c>
    </x:row>
    <x:row r="69">
      <x:c r="A69" t="n">
        <x:f>2031</x:f>
        <x:v>2031</x:v>
      </x:c>
      <x:c r="B69" t="n">
        <x:f>SUMIFS(Transactions!$R$2:$R$501,Transactions!$A$2:$A$501,"&gt;="&amp;DATE(A69,1,1),Transactions!$A$2:$A$501,"&lt;"&amp;DATE(A69+1,1,1))</x:f>
        <x:v>0</x:v>
      </x:c>
      <x:c r="C69" t="n">
        <x:f>COUNTIFS(Transactions!$A$2:$A$501,"&gt;="&amp;DATE(A69,1,1),Transactions!$A$2:$A$501,"&lt;"&amp;DATE(A69+1,1,1))</x:f>
        <x:v>0</x:v>
      </x:c>
      <x:c r="D69" t="str">
        <x:f>IF(C69=0,"","Review realized gains/losses")</x:f>
      </x:c>
    </x:row>
    <x:row r="70">
      <x:c r="A70" t="n">
        <x:f>2032</x:f>
        <x:v>2032</x:v>
      </x:c>
      <x:c r="B70" t="n">
        <x:f>SUMIFS(Transactions!$R$2:$R$501,Transactions!$A$2:$A$501,"&gt;="&amp;DATE(A70,1,1),Transactions!$A$2:$A$501,"&lt;"&amp;DATE(A70+1,1,1))</x:f>
        <x:v>0</x:v>
      </x:c>
      <x:c r="C70" t="n">
        <x:f>COUNTIFS(Transactions!$A$2:$A$501,"&gt;="&amp;DATE(A70,1,1),Transactions!$A$2:$A$501,"&lt;"&amp;DATE(A70+1,1,1))</x:f>
        <x:v>0</x:v>
      </x:c>
      <x:c r="D70" t="str">
        <x:f>IF(C70=0,"","Review realized gains/losses")</x:f>
      </x:c>
    </x:row>
    <x:row r="71">
      <x:c r="A71" t="n">
        <x:f>2033</x:f>
        <x:v>2033</x:v>
      </x:c>
      <x:c r="B71" t="n">
        <x:f>SUMIFS(Transactions!$R$2:$R$501,Transactions!$A$2:$A$501,"&gt;="&amp;DATE(A71,1,1),Transactions!$A$2:$A$501,"&lt;"&amp;DATE(A71+1,1,1))</x:f>
        <x:v>0</x:v>
      </x:c>
      <x:c r="C71" t="n">
        <x:f>COUNTIFS(Transactions!$A$2:$A$501,"&gt;="&amp;DATE(A71,1,1),Transactions!$A$2:$A$501,"&lt;"&amp;DATE(A71+1,1,1))</x:f>
        <x:v>0</x:v>
      </x:c>
      <x:c r="D71" t="str">
        <x:f>IF(C71=0,"","Review realized gains/losses")</x:f>
      </x:c>
    </x:row>
  </x:sheetData>
  <x:pageMargins left="0.7" right="0.7" top="0.75" bottom="0.75" header="0.3" footer="0.3"/>
</x:worksheet>
</file>